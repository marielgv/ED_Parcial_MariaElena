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ROYECTOS JAVA\ProyectoED_MariaElena\"/>
    </mc:Choice>
  </mc:AlternateContent>
  <xr:revisionPtr revIDLastSave="0" documentId="13_ncr:1_{4F5D4BD6-A651-4219-AAD2-E4C10A581946}" xr6:coauthVersionLast="47" xr6:coauthVersionMax="47" xr10:uidLastSave="{00000000-0000-0000-0000-000000000000}"/>
  <bookViews>
    <workbookView xWindow="-108" yWindow="-108" windowWidth="23256" windowHeight="12456" tabRatio="500" firstSheet="4" activeTab="6" xr2:uid="{00000000-000D-0000-FFFF-FFFF00000000}"/>
  </bookViews>
  <sheets>
    <sheet name="Guia de Uso" sheetId="1" r:id="rId1"/>
    <sheet name="tiempos1" sheetId="8" r:id="rId2"/>
    <sheet name="1. Datos_Crudos" sheetId="2" r:id="rId3"/>
    <sheet name="2. Factorial" sheetId="3" r:id="rId4"/>
    <sheet name="3. Fibonacci" sheetId="4" r:id="rId5"/>
    <sheet name="4. Busqueda Lineal" sheetId="5" r:id="rId6"/>
    <sheet name="5. Burbuja" sheetId="6" r:id="rId7"/>
    <sheet name="6. Conclusiones" sheetId="7" r:id="rId8"/>
  </sheets>
  <definedNames>
    <definedName name="DatosExternos_1" localSheetId="1" hidden="1">tiempos1!$A$1:$D$45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1" i="2" l="1"/>
  <c r="E42" i="2"/>
  <c r="E43" i="2"/>
  <c r="E44" i="2"/>
  <c r="E45" i="2"/>
  <c r="E46" i="2"/>
  <c r="E47" i="2"/>
  <c r="E48" i="2"/>
  <c r="E49" i="2"/>
  <c r="J49" i="2" s="1"/>
  <c r="D9" i="6" s="1"/>
  <c r="E40" i="2"/>
  <c r="E30" i="2"/>
  <c r="E31" i="2"/>
  <c r="E32" i="2"/>
  <c r="E33" i="2"/>
  <c r="E34" i="2"/>
  <c r="E35" i="2"/>
  <c r="J35" i="2" s="1"/>
  <c r="D6" i="5" s="1"/>
  <c r="E36" i="2"/>
  <c r="E37" i="2"/>
  <c r="E38" i="2"/>
  <c r="E29" i="2"/>
  <c r="E17" i="2"/>
  <c r="E18" i="2"/>
  <c r="E19" i="2"/>
  <c r="E20" i="2"/>
  <c r="E21" i="2"/>
  <c r="J21" i="2" s="1"/>
  <c r="C10" i="4" s="1"/>
  <c r="E22" i="2"/>
  <c r="E23" i="2"/>
  <c r="E24" i="2"/>
  <c r="E25" i="2"/>
  <c r="J25" i="2" s="1"/>
  <c r="D8" i="4" s="1"/>
  <c r="E26" i="2"/>
  <c r="E27" i="2"/>
  <c r="E16" i="2"/>
  <c r="E12" i="2"/>
  <c r="E11" i="2"/>
  <c r="E10" i="2"/>
  <c r="E9" i="2"/>
  <c r="J9" i="2" s="1"/>
  <c r="D5" i="3" s="1"/>
  <c r="E8" i="2"/>
  <c r="E7" i="2"/>
  <c r="E6" i="2"/>
  <c r="E5" i="2"/>
  <c r="E13" i="2"/>
  <c r="E14" i="2"/>
  <c r="J10" i="2"/>
  <c r="D6" i="3" s="1"/>
  <c r="J16" i="2"/>
  <c r="C5" i="4" s="1"/>
  <c r="J22" i="2"/>
  <c r="D5" i="4" s="1"/>
  <c r="J23" i="2"/>
  <c r="D6" i="4" s="1"/>
  <c r="J36" i="2"/>
  <c r="D7" i="5" s="1"/>
  <c r="J47" i="2"/>
  <c r="D7" i="6" s="1"/>
  <c r="J48" i="2"/>
  <c r="D8" i="6" s="1"/>
  <c r="E4" i="2"/>
  <c r="E3" i="2"/>
  <c r="J3" i="2"/>
  <c r="C5" i="3" s="1"/>
  <c r="J46" i="2"/>
  <c r="D6" i="6" s="1"/>
  <c r="J45" i="2"/>
  <c r="D5" i="6" s="1"/>
  <c r="J44" i="2"/>
  <c r="C9" i="6" s="1"/>
  <c r="J43" i="2"/>
  <c r="C8" i="6" s="1"/>
  <c r="J42" i="2"/>
  <c r="C7" i="6" s="1"/>
  <c r="J41" i="2"/>
  <c r="C6" i="6" s="1"/>
  <c r="J40" i="2"/>
  <c r="C5" i="6" s="1"/>
  <c r="J38" i="2"/>
  <c r="D9" i="5" s="1"/>
  <c r="J37" i="2"/>
  <c r="D8" i="5" s="1"/>
  <c r="J34" i="2"/>
  <c r="D5" i="5" s="1"/>
  <c r="J33" i="2"/>
  <c r="C9" i="5" s="1"/>
  <c r="J32" i="2"/>
  <c r="C8" i="5" s="1"/>
  <c r="J31" i="2"/>
  <c r="C7" i="5" s="1"/>
  <c r="J30" i="2"/>
  <c r="C6" i="5" s="1"/>
  <c r="J29" i="2"/>
  <c r="C5" i="5" s="1"/>
  <c r="J27" i="2"/>
  <c r="D10" i="4" s="1"/>
  <c r="J26" i="2"/>
  <c r="D9" i="4" s="1"/>
  <c r="J24" i="2"/>
  <c r="D7" i="4" s="1"/>
  <c r="J20" i="2"/>
  <c r="C9" i="4" s="1"/>
  <c r="J19" i="2"/>
  <c r="C8" i="4" s="1"/>
  <c r="J18" i="2"/>
  <c r="C7" i="4" s="1"/>
  <c r="J17" i="2"/>
  <c r="C6" i="4" s="1"/>
  <c r="J14" i="2"/>
  <c r="D10" i="3" s="1"/>
  <c r="J13" i="2"/>
  <c r="D9" i="3" s="1"/>
  <c r="J12" i="2"/>
  <c r="D8" i="3" s="1"/>
  <c r="J11" i="2"/>
  <c r="D7" i="3" s="1"/>
  <c r="J8" i="2"/>
  <c r="C10" i="3" s="1"/>
  <c r="J7" i="2"/>
  <c r="C9" i="3" s="1"/>
  <c r="J6" i="2"/>
  <c r="C8" i="3" s="1"/>
  <c r="J5" i="2"/>
  <c r="C7" i="3" s="1"/>
  <c r="J4" i="2"/>
  <c r="C6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1DACCF-FC27-46D0-B757-9B101EADEF71}" keepAlive="1" name="Consulta - tiempos" description="Conexión a la consulta 'tiempos' en el libro." type="5" refreshedVersion="8" background="1" saveData="1">
    <dbPr connection="Provider=Microsoft.Mashup.OleDb.1;Data Source=$Workbook$;Location=tiempos;Extended Properties=&quot;&quot;" command="SELECT * FROM [tiempos]"/>
  </connection>
</connections>
</file>

<file path=xl/sharedStrings.xml><?xml version="1.0" encoding="utf-8"?>
<sst xmlns="http://schemas.openxmlformats.org/spreadsheetml/2006/main" count="298" uniqueCount="72">
  <si>
    <t>GUIA DE USO — Ejemplo de Registro de Tiempos de Ejecucion</t>
  </si>
  <si>
    <t>Estructura de Datos | Ing. Brandon Chitay | Universidad Da Vinci de Guatemala</t>
  </si>
  <si>
    <t>PROPOSITO DEL ARCHIVO</t>
  </si>
  <si>
    <t>Este archivo te muestra EXACTAMENTE como registrar tus tiempos, calcular promedios y generar las graficas. Los datos de muestra son ficticios (realistas pero inventados). Reemplazalos con los tiempos reales que obtengas al ejecutar tus algoritmos en Java.</t>
  </si>
  <si>
    <t>ESTRUCTURA DEL LIBRO</t>
  </si>
  <si>
    <t>1. Datos_Crudos — tabla con las 5 ejecuciones y el promedio por algoritmo
2. Factorial — comparativa iterativo vs recursivo + grafica
3. Fibonacci — comparativa + grafica (ven la diferencia exponencial!)
4. Busqueda_Lineal — comparativa + grafica
5. Burbuja — comparativa + grafica
6. Conclusiones — tabla de Big-O experimental vs teorico</t>
  </si>
  <si>
    <t>CODIGO DE COLORES</t>
  </si>
  <si>
    <t>Fondo AMARILLO → Celdas que TU debes rellenar con tus mediciones reales
Fondo VERDE → Formula automatica (promedio), NO la edites
Fondo AZUL → Encabezado, no modificar
Fondo GRIS → Dato de referencia calculado automaticamente</t>
  </si>
  <si>
    <t>COMO MEDIR EN JAVA</t>
  </si>
  <si>
    <t>long inicio  = System.nanoTime();
// ... tu algoritmo aqui ...
long fin     = System.nanoTime();
double ms    = (fin - inicio) / 1_000_000.0;
Repite 5 veces y registra cada resultado en las columnas Ej.1 a Ej.5.</t>
  </si>
  <si>
    <t>COMO CREAR LA GRAFICA</t>
  </si>
  <si>
    <t>1. Selecciona las columnas n, Iterativo y Recursivo de la hoja comparativa
2. Insertar → Grafico → Dispersion con lineas y marcadores
3. Agrega titulo: '[Algoritmo]: Iterativo vs Recursivo'
4. Eje X: Tamano (n)  |  Eje Y: Tiempo (ms)
5. Clic derecho en cada serie → Agregar linea de tendencia</t>
  </si>
  <si>
    <t>PREGUNTAS CLAVE</t>
  </si>
  <si>
    <t>Fibonacci: ¿por que el recursivo es tan mas lento que el iterativo?
Burbuja: ¿cuanto aumenta el tiempo al duplicar n? (pista: 4x)
¿Cual algoritmo es el mas rapido? ¿El mas lento?
¿Vale la pena la elegancia del codigo recursivo para Fibonacci?</t>
  </si>
  <si>
    <t>HOJA 1 — Datos Crudos | Tiempos de Ejecucion (ms)</t>
  </si>
  <si>
    <t>Algoritmo</t>
  </si>
  <si>
    <t>Version</t>
  </si>
  <si>
    <t>n</t>
  </si>
  <si>
    <t>Ej. 1 (ms)</t>
  </si>
  <si>
    <t>Ej. 2 (ms)</t>
  </si>
  <si>
    <t>Ej. 3 (ms)</t>
  </si>
  <si>
    <t>Ej. 4 (ms)</t>
  </si>
  <si>
    <t>Ej. 5 (ms)</t>
  </si>
  <si>
    <t>PROMEDIO (ms)</t>
  </si>
  <si>
    <t>A1 - Factorial</t>
  </si>
  <si>
    <t>Iterativo</t>
  </si>
  <si>
    <t>Recursivo</t>
  </si>
  <si>
    <t>A2 - Fibonacci</t>
  </si>
  <si>
    <t>A3 - Busqueda Lineal</t>
  </si>
  <si>
    <t>A4 - Burbuja</t>
  </si>
  <si>
    <t>Leyenda:  Fondo AMARILLO = ingresa tu medicion real  |  Fondo VERDE = promedio automatico (no editar)  |  Fondo NARANJA = version recursiva</t>
  </si>
  <si>
    <t>HOJA — A1 - Factorial | Iterativo vs. Recursivo</t>
  </si>
  <si>
    <t>Big-O Iterativo:</t>
  </si>
  <si>
    <t>O(n)</t>
  </si>
  <si>
    <t>Big-O Recursivo:  O(n)</t>
  </si>
  <si>
    <t>Iterativo
(O(n))</t>
  </si>
  <si>
    <t>Recursivo
(O(n))</t>
  </si>
  <si>
    <t>Observacion:  Ambas versiones son O(n): el tiempo crece linealmente con n.</t>
  </si>
  <si>
    <t>HOJA — A2 - Fibonacci | Iterativo vs. Recursivo</t>
  </si>
  <si>
    <t>Big-O Recursivo:  O(2^n)</t>
  </si>
  <si>
    <t>Recursivo
(O(2^n))</t>
  </si>
  <si>
    <t>Observacion:  Recursivo crece exponencialmente: duplicar n casi cuadriplica el tiempo.</t>
  </si>
  <si>
    <t>HOJA — A3 - Busqueda Lineal | Iterativo vs. Recursivo</t>
  </si>
  <si>
    <t>Observacion:  Ambas O(n): al multiplicar n x10, el tiempo tambien x10 aprox.</t>
  </si>
  <si>
    <t>HOJA — A4 - Burbuja | Iterativo vs. Recursivo</t>
  </si>
  <si>
    <t>O(n^2)</t>
  </si>
  <si>
    <t>Big-O Recursivo:  O(n^2)</t>
  </si>
  <si>
    <t>Iterativo
(O(n^2))</t>
  </si>
  <si>
    <t>Recursivo
(O(n^2))</t>
  </si>
  <si>
    <t>Observacion:  Ambas O(n^2): al x10 n, el tiempo aumenta aprox x100.</t>
  </si>
  <si>
    <t>HOJA 6 — Conclusiones | Big-O Experimental vs. Teorico</t>
  </si>
  <si>
    <t>Big-O Experimental
(de tu grafica)</t>
  </si>
  <si>
    <t>Big-O Teorico</t>
  </si>
  <si>
    <t>Coincide?</t>
  </si>
  <si>
    <t>Justificacion breve</t>
  </si>
  <si>
    <t>O(2^n)</t>
  </si>
  <si>
    <t>Guia para interpretar tus graficas:</t>
  </si>
  <si>
    <t>Linea recta en grafica</t>
  </si>
  <si>
    <t>→  Big-O es probablemente O(1) o O(n)</t>
  </si>
  <si>
    <t>Curva suave ascendente</t>
  </si>
  <si>
    <t>→  Big-O es probablemente O(n) o O(log n)</t>
  </si>
  <si>
    <t>Curva que sube rapido</t>
  </si>
  <si>
    <t>→  Big-O es probablemente O(n^2)</t>
  </si>
  <si>
    <t>Curva que explota (vertical)</t>
  </si>
  <si>
    <t>→  Big-O es probablemente O(2^n)</t>
  </si>
  <si>
    <t>Tiempo_ms</t>
  </si>
  <si>
    <t>Si</t>
  </si>
  <si>
    <t>Ambas versiones muestran una línea recta. El tiempo aumenta de forma directamente proporcional al valor de n, lo que confirma una complejidad lineal.</t>
  </si>
  <si>
    <t>Se mantiene lineal porque solo recorre un ciclo desde 1 hasta n.</t>
  </si>
  <si>
    <t>Se observa un crecimiento exponencial O(2^n) debido a que cada llamada recursiva genera dos nuevas ramas, duplicando el esfuerzo computacional en cada paso.</t>
  </si>
  <si>
    <t>Al buscar un elemento que no existe (peor caso), el algoritmo recorre todo el arreglo. A mayor tamaño de arreglo, mayor tiempo de forma lineal.</t>
  </si>
  <si>
    <t>La gráfica muestra una curva que sube mucho más rápido que la lineal (forma de parábola). Esto se debe a los ciclos anidados, donde el tiempo es el cuadrado del tamaño de los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</si>
</sst>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2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A48029"/>
      <name val="Arial"/>
      <charset val="1"/>
    </font>
    <font>
      <b/>
      <sz val="10"/>
      <color rgb="FFFFFFFF"/>
      <name val="Arial"/>
      <charset val="1"/>
    </font>
    <font>
      <sz val="10"/>
      <color rgb="FF333333"/>
      <name val="Arial"/>
      <charset val="1"/>
    </font>
    <font>
      <sz val="10"/>
      <color rgb="FF333333"/>
      <name val="Courier New"/>
      <charset val="1"/>
    </font>
    <font>
      <b/>
      <sz val="13"/>
      <color rgb="FFFFFFFF"/>
      <name val="Arial"/>
      <charset val="1"/>
    </font>
    <font>
      <b/>
      <sz val="9"/>
      <color rgb="FF1B3A6B"/>
      <name val="Arial"/>
      <charset val="1"/>
    </font>
    <font>
      <sz val="9"/>
      <color rgb="FF555555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i/>
      <sz val="9"/>
      <color rgb="FF666666"/>
      <name val="Arial"/>
      <charset val="1"/>
    </font>
    <font>
      <b/>
      <sz val="11"/>
      <color rgb="FF1B3A6B"/>
      <name val="Arial"/>
      <charset val="1"/>
    </font>
    <font>
      <b/>
      <sz val="10"/>
      <color rgb="FF000000"/>
      <name val="Arial"/>
      <charset val="1"/>
    </font>
    <font>
      <sz val="10"/>
      <color rgb="FF1B3A6B"/>
      <name val="Arial"/>
      <charset val="1"/>
    </font>
    <font>
      <sz val="10"/>
      <color rgb="FFA48029"/>
      <name val="Arial"/>
      <charset val="1"/>
    </font>
    <font>
      <i/>
      <sz val="9"/>
      <color rgb="FF333333"/>
      <name val="Arial"/>
      <charset val="1"/>
    </font>
    <font>
      <b/>
      <sz val="11"/>
      <color rgb="FF8B0000"/>
      <name val="Arial"/>
      <charset val="1"/>
    </font>
    <font>
      <sz val="10"/>
      <color rgb="FF8B0000"/>
      <name val="Arial"/>
      <charset val="1"/>
    </font>
    <font>
      <b/>
      <sz val="9"/>
      <color rgb="FFFFFFFF"/>
      <name val="Arial"/>
      <charset val="1"/>
    </font>
    <font>
      <sz val="9"/>
      <color rgb="FF444444"/>
      <name val="Arial"/>
      <charset val="1"/>
    </font>
    <font>
      <b/>
      <sz val="9"/>
      <color rgb="FF007700"/>
      <name val="Arial"/>
      <charset val="1"/>
    </font>
    <font>
      <sz val="9"/>
      <color rgb="FF333333"/>
      <name val="Arial"/>
      <charset val="1"/>
    </font>
    <font>
      <sz val="9"/>
      <color rgb="FF333333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B3A6B"/>
        <bgColor rgb="FF1E3F6E"/>
      </patternFill>
    </fill>
    <fill>
      <patternFill patternType="solid">
        <fgColor rgb="FF1E3F6E"/>
        <bgColor rgb="FF1B3A6B"/>
      </patternFill>
    </fill>
    <fill>
      <patternFill patternType="solid">
        <fgColor rgb="FFE8EFF8"/>
        <bgColor rgb="FFE8F5E9"/>
      </patternFill>
    </fill>
    <fill>
      <patternFill patternType="solid">
        <fgColor rgb="FFF5F5F5"/>
        <bgColor rgb="FFFAFAFA"/>
      </patternFill>
    </fill>
    <fill>
      <patternFill patternType="solid">
        <fgColor rgb="FFA48029"/>
        <bgColor rgb="FF878787"/>
      </patternFill>
    </fill>
    <fill>
      <patternFill patternType="solid">
        <fgColor rgb="FFFFFDE7"/>
        <bgColor rgb="FFFAFAFA"/>
      </patternFill>
    </fill>
    <fill>
      <patternFill patternType="solid">
        <fgColor rgb="FFE8F5E9"/>
        <bgColor rgb="FFE8EFF8"/>
      </patternFill>
    </fill>
    <fill>
      <patternFill patternType="solid">
        <fgColor rgb="FFFFFFFF"/>
        <bgColor rgb="FFFAFAFA"/>
      </patternFill>
    </fill>
    <fill>
      <patternFill patternType="solid">
        <fgColor rgb="FFFFF3E0"/>
        <bgColor rgb="FFFFEBEE"/>
      </patternFill>
    </fill>
    <fill>
      <patternFill patternType="solid">
        <fgColor rgb="FFFAFAFA"/>
        <bgColor rgb="FFFFFFFF"/>
      </patternFill>
    </fill>
    <fill>
      <patternFill patternType="solid">
        <fgColor rgb="FFFFEBEE"/>
        <bgColor rgb="FFFFF3E0"/>
      </patternFill>
    </fill>
  </fills>
  <borders count="5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164" fontId="14" fillId="4" borderId="3" xfId="0" applyNumberFormat="1" applyFont="1" applyFill="1" applyBorder="1" applyAlignment="1">
      <alignment horizontal="center" vertical="center" wrapText="1"/>
    </xf>
    <xf numFmtId="164" fontId="15" fillId="4" borderId="3" xfId="0" applyNumberFormat="1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164" fontId="14" fillId="9" borderId="3" xfId="0" applyNumberFormat="1" applyFont="1" applyFill="1" applyBorder="1" applyAlignment="1">
      <alignment horizontal="center" vertical="center" wrapText="1"/>
    </xf>
    <xf numFmtId="164" fontId="15" fillId="9" borderId="3" xfId="0" applyNumberFormat="1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 wrapText="1"/>
    </xf>
    <xf numFmtId="164" fontId="18" fillId="4" borderId="3" xfId="0" applyNumberFormat="1" applyFont="1" applyFill="1" applyBorder="1" applyAlignment="1">
      <alignment horizontal="center" vertical="center" wrapText="1"/>
    </xf>
    <xf numFmtId="164" fontId="18" fillId="9" borderId="3" xfId="0" applyNumberFormat="1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2" fillId="7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0" borderId="0" xfId="0"/>
    <xf numFmtId="0" fontId="5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1" fillId="11" borderId="0" xfId="0" applyFont="1" applyFill="1" applyAlignment="1">
      <alignment horizontal="left" vertical="center"/>
    </xf>
    <xf numFmtId="0" fontId="16" fillId="7" borderId="1" xfId="0" applyFont="1" applyFill="1" applyBorder="1" applyAlignment="1">
      <alignment horizontal="left" vertical="center" wrapText="1"/>
    </xf>
    <xf numFmtId="0" fontId="22" fillId="1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2" fillId="4" borderId="1" xfId="0" applyFont="1" applyFill="1" applyBorder="1" applyAlignment="1">
      <alignment horizontal="left" vertical="center" wrapText="1"/>
    </xf>
    <xf numFmtId="0" fontId="22" fillId="9" borderId="1" xfId="0" applyFont="1" applyFill="1" applyBorder="1" applyAlignment="1">
      <alignment horizontal="left" vertical="center" wrapText="1"/>
    </xf>
    <xf numFmtId="0" fontId="0" fillId="0" borderId="0" xfId="0" applyNumberFormat="1"/>
    <xf numFmtId="0" fontId="23" fillId="7" borderId="3" xfId="0" applyFont="1" applyFill="1" applyBorder="1" applyAlignment="1">
      <alignment horizontal="left" vertical="center" wrapText="1"/>
    </xf>
    <xf numFmtId="0" fontId="23" fillId="7" borderId="2" xfId="0" applyFont="1" applyFill="1" applyBorder="1" applyAlignment="1">
      <alignment horizontal="left" vertical="center" wrapText="1"/>
    </xf>
    <xf numFmtId="0" fontId="23" fillId="7" borderId="4" xfId="0" applyFont="1" applyFill="1" applyBorder="1" applyAlignment="1">
      <alignment horizontal="left" vertical="center" wrapText="1"/>
    </xf>
    <xf numFmtId="0" fontId="22" fillId="7" borderId="2" xfId="0" applyFont="1" applyFill="1" applyBorder="1" applyAlignment="1">
      <alignment horizontal="left" vertical="center" wrapText="1"/>
    </xf>
    <xf numFmtId="0" fontId="22" fillId="7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7700"/>
      <rgbColor rgb="FF000080"/>
      <rgbColor rgb="FFA48029"/>
      <rgbColor rgb="FF800080"/>
      <rgbColor rgb="FF008080"/>
      <rgbColor rgb="FFCCCCCC"/>
      <rgbColor rgb="FF878787"/>
      <rgbColor rgb="FF9999FF"/>
      <rgbColor rgb="FF555555"/>
      <rgbColor rgb="FFFFFDE7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AA0000"/>
      <rgbColor rgb="FF008080"/>
      <rgbColor rgb="FF0000FF"/>
      <rgbColor rgb="FF00CCFF"/>
      <rgbColor rgb="FFE8EFF8"/>
      <rgbColor rgb="FFF5F5F5"/>
      <rgbColor rgb="FFFFF3E0"/>
      <rgbColor rgb="FFFAFAFA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6B"/>
      <rgbColor rgb="FF339966"/>
      <rgbColor rgb="FF003300"/>
      <rgbColor rgb="FF444444"/>
      <rgbColor rgb="FFC0392B"/>
      <rgbColor rgb="FF993366"/>
      <rgbColor rgb="FF1E3F6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Factorial: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Factorial'!$C$4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Factorial'!$C$5:$C$10</c:f>
              <c:numCache>
                <c:formatCode>#,##0.000000</c:formatCode>
                <c:ptCount val="6"/>
                <c:pt idx="0">
                  <c:v>1.8967999999999999E-2</c:v>
                </c:pt>
                <c:pt idx="1">
                  <c:v>9.6000000000000002E-5</c:v>
                </c:pt>
                <c:pt idx="2">
                  <c:v>1.44E-4</c:v>
                </c:pt>
                <c:pt idx="3">
                  <c:v>1.16E-4</c:v>
                </c:pt>
                <c:pt idx="4">
                  <c:v>1.1199999999999998E-4</c:v>
                </c:pt>
                <c:pt idx="5">
                  <c:v>1.64E-4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7D-E447-9AC9-C260900E5258}"/>
            </c:ext>
          </c:extLst>
        </c:ser>
        <c:ser>
          <c:idx val="1"/>
          <c:order val="1"/>
          <c:tx>
            <c:strRef>
              <c:f>'2. Factorial'!$D$4</c:f>
              <c:strCache>
                <c:ptCount val="1"/>
                <c:pt idx="0">
                  <c:v>Recursivo
(O(n))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Factorial'!$D$5:$D$10</c:f>
              <c:numCache>
                <c:formatCode>#,##0.000000</c:formatCode>
                <c:ptCount val="6"/>
                <c:pt idx="0">
                  <c:v>2.2399999999999997E-4</c:v>
                </c:pt>
                <c:pt idx="1">
                  <c:v>1.2400000000000001E-4</c:v>
                </c:pt>
                <c:pt idx="2">
                  <c:v>2.5600000000000004E-4</c:v>
                </c:pt>
                <c:pt idx="3">
                  <c:v>2.32E-4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C7D-E447-9AC9-C260900E5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494455"/>
        <c:axId val="39892230"/>
      </c:lineChart>
      <c:catAx>
        <c:axId val="454944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39892230"/>
        <c:crosses val="autoZero"/>
        <c:auto val="1"/>
        <c:lblAlgn val="ctr"/>
        <c:lblOffset val="100"/>
        <c:noMultiLvlLbl val="0"/>
      </c:catAx>
      <c:valAx>
        <c:axId val="398922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454944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Fibonacci: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 Fibonacci'!$C$4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Fibonacci'!$C$5:$C$10</c:f>
              <c:numCache>
                <c:formatCode>#,##0.000000</c:formatCode>
                <c:ptCount val="6"/>
                <c:pt idx="0">
                  <c:v>2.3439999999999999E-2</c:v>
                </c:pt>
                <c:pt idx="1">
                  <c:v>8.7999999999999998E-5</c:v>
                </c:pt>
                <c:pt idx="2">
                  <c:v>2.7599999999999999E-4</c:v>
                </c:pt>
                <c:pt idx="3">
                  <c:v>1.56E-4</c:v>
                </c:pt>
                <c:pt idx="4">
                  <c:v>1.84E-4</c:v>
                </c:pt>
                <c:pt idx="5">
                  <c:v>1.9599999999999999E-4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89-AD4B-90C6-422BA3BDE0D3}"/>
            </c:ext>
          </c:extLst>
        </c:ser>
        <c:ser>
          <c:idx val="1"/>
          <c:order val="1"/>
          <c:tx>
            <c:strRef>
              <c:f>'3. Fibonacci'!$D$4</c:f>
              <c:strCache>
                <c:ptCount val="1"/>
                <c:pt idx="0">
                  <c:v>Recursivo
(O(2^n))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Fibonacci'!$D$5:$D$10</c:f>
              <c:numCache>
                <c:formatCode>#,##0.000000</c:formatCode>
                <c:ptCount val="6"/>
                <c:pt idx="0">
                  <c:v>3.3199999999999999E-4</c:v>
                </c:pt>
                <c:pt idx="1">
                  <c:v>5.012E-3</c:v>
                </c:pt>
                <c:pt idx="2">
                  <c:v>2.5200000000000001E-3</c:v>
                </c:pt>
                <c:pt idx="3">
                  <c:v>9.6200000000000001E-3</c:v>
                </c:pt>
                <c:pt idx="4">
                  <c:v>6.8700000000000011E-2</c:v>
                </c:pt>
                <c:pt idx="5">
                  <c:v>0.72949200000000003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389-AD4B-90C6-422BA3BDE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8528611"/>
        <c:axId val="59467831"/>
      </c:lineChart>
      <c:catAx>
        <c:axId val="185286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59467831"/>
        <c:crosses val="autoZero"/>
        <c:auto val="1"/>
        <c:lblAlgn val="ctr"/>
        <c:lblOffset val="100"/>
        <c:noMultiLvlLbl val="0"/>
      </c:catAx>
      <c:valAx>
        <c:axId val="594678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1852861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Busqueda Lineal: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 Busqueda Lineal'!$C$4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Lineal'!$C$5:$C$9</c:f>
              <c:numCache>
                <c:formatCode>#,##0.000000</c:formatCode>
                <c:ptCount val="5"/>
                <c:pt idx="0">
                  <c:v>2.4240000000000001E-2</c:v>
                </c:pt>
                <c:pt idx="1">
                  <c:v>1.3240000000000001E-3</c:v>
                </c:pt>
                <c:pt idx="2">
                  <c:v>2.5440000000000003E-3</c:v>
                </c:pt>
                <c:pt idx="3">
                  <c:v>1.2328E-2</c:v>
                </c:pt>
                <c:pt idx="4">
                  <c:v>2.8683999999999998E-2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96-1E4D-B75D-F777358E9A55}"/>
            </c:ext>
          </c:extLst>
        </c:ser>
        <c:ser>
          <c:idx val="1"/>
          <c:order val="1"/>
          <c:tx>
            <c:strRef>
              <c:f>'4. Busqueda Lineal'!$D$4</c:f>
              <c:strCache>
                <c:ptCount val="1"/>
                <c:pt idx="0">
                  <c:v>Recursivo
(O(n))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Lineal'!$D$5:$D$9</c:f>
              <c:numCache>
                <c:formatCode>#,##0.000000</c:formatCode>
                <c:ptCount val="5"/>
                <c:pt idx="0">
                  <c:v>1.4519999999999999E-3</c:v>
                </c:pt>
                <c:pt idx="1">
                  <c:v>1.6799999999999999E-3</c:v>
                </c:pt>
                <c:pt idx="2">
                  <c:v>3.3519999999999999E-3</c:v>
                </c:pt>
                <c:pt idx="3">
                  <c:v>1.3583999999999999E-2</c:v>
                </c:pt>
                <c:pt idx="4">
                  <c:v>1.3100000000000001E-2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96-1E4D-B75D-F777358E9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1784547"/>
        <c:axId val="22378713"/>
      </c:lineChart>
      <c:catAx>
        <c:axId val="917845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22378713"/>
        <c:crosses val="autoZero"/>
        <c:auto val="1"/>
        <c:lblAlgn val="ctr"/>
        <c:lblOffset val="100"/>
        <c:noMultiLvlLbl val="0"/>
      </c:catAx>
      <c:valAx>
        <c:axId val="223787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9178454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Burbuja: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'5. Burbuja'!$C$4</c:f>
              <c:strCache>
                <c:ptCount val="1"/>
                <c:pt idx="0">
                  <c:v>Iterativo
(O(n^2))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Burbuja'!$C$5:$C$9</c:f>
              <c:numCache>
                <c:formatCode>#,##0.000000</c:formatCode>
                <c:ptCount val="5"/>
                <c:pt idx="0">
                  <c:v>5.8008000000000004E-2</c:v>
                </c:pt>
                <c:pt idx="1">
                  <c:v>0.17358400000000002</c:v>
                </c:pt>
                <c:pt idx="2">
                  <c:v>0.29253999999999997</c:v>
                </c:pt>
                <c:pt idx="3">
                  <c:v>4.9575000000000005</c:v>
                </c:pt>
                <c:pt idx="4">
                  <c:v>24.249644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3E-C142-A1DC-71DCAAB9F93B}"/>
            </c:ext>
          </c:extLst>
        </c:ser>
        <c:ser>
          <c:idx val="1"/>
          <c:order val="1"/>
          <c:tx>
            <c:strRef>
              <c:f>'5. Burbuja'!$D$4</c:f>
              <c:strCache>
                <c:ptCount val="1"/>
                <c:pt idx="0">
                  <c:v>Recursivo
(O(n^2))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Burbuja'!$D$5:$D$9</c:f>
              <c:numCache>
                <c:formatCode>#,##0.000000</c:formatCode>
                <c:ptCount val="5"/>
                <c:pt idx="0">
                  <c:v>1.7228E-2</c:v>
                </c:pt>
                <c:pt idx="1">
                  <c:v>0.108532</c:v>
                </c:pt>
                <c:pt idx="2">
                  <c:v>0.36026400000000003</c:v>
                </c:pt>
                <c:pt idx="3">
                  <c:v>4.4658920000000002</c:v>
                </c:pt>
                <c:pt idx="4">
                  <c:v>21.367619999999999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A3E-C142-A1DC-71DCAAB9F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1551171"/>
        <c:axId val="96248341"/>
      </c:lineChart>
      <c:catAx>
        <c:axId val="115511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96248341"/>
        <c:crosses val="autoZero"/>
        <c:auto val="1"/>
        <c:lblAlgn val="ctr"/>
        <c:lblOffset val="100"/>
        <c:noMultiLvlLbl val="0"/>
      </c:catAx>
      <c:valAx>
        <c:axId val="962483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115511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24120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17</xdr:row>
      <xdr:rowOff>153660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18</xdr:row>
      <xdr:rowOff>20040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81000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FFFE2B6-1EBC-4D2B-AF1F-C1F0A428C98E}" autoFormatId="16" applyNumberFormats="0" applyBorderFormats="0" applyFontFormats="0" applyPatternFormats="0" applyAlignmentFormats="0" applyWidthHeightFormats="0">
  <queryTableRefresh nextId="5">
    <queryTableFields count="4">
      <queryTableField id="1" name="Algoritmo" tableColumnId="1"/>
      <queryTableField id="2" name="Version" tableColumnId="2"/>
      <queryTableField id="3" name="n" tableColumnId="3"/>
      <queryTableField id="4" name="Tiempo_m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5DC896-8FB1-4A75-8C1E-F54B6CABB317}" name="tiempos" displayName="tiempos" ref="A1:D45" tableType="queryTable" totalsRowShown="0">
  <autoFilter ref="A1:D45" xr:uid="{125DC896-8FB1-4A75-8C1E-F54B6CABB317}"/>
  <tableColumns count="4">
    <tableColumn id="1" xr3:uid="{DDB41C92-3A24-4E93-87C8-FD9773F7B735}" uniqueName="1" name="Algoritmo" queryTableFieldId="1" dataDxfId="1"/>
    <tableColumn id="2" xr3:uid="{D48C88E2-B8E4-4D6F-9B72-51AFA9295FD8}" uniqueName="2" name="Version" queryTableFieldId="2" dataDxfId="0"/>
    <tableColumn id="3" xr3:uid="{5AB22B0A-720A-4A66-825D-6C633E3C2D5E}" uniqueName="3" name="n" queryTableFieldId="3"/>
    <tableColumn id="4" xr3:uid="{DEDCD103-1A03-456B-92AC-D29898FB7876}" uniqueName="4" name="Tiempo_m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2"/>
  <sheetViews>
    <sheetView showGridLines="0" zoomScaleNormal="100" workbookViewId="0"/>
  </sheetViews>
  <sheetFormatPr baseColWidth="10" defaultColWidth="8.6640625" defaultRowHeight="15" customHeight="1" x14ac:dyDescent="0.3"/>
  <cols>
    <col min="1" max="1" width="3" customWidth="1"/>
    <col min="2" max="2" width="28" customWidth="1"/>
    <col min="3" max="3" width="60" customWidth="1"/>
    <col min="4" max="4" width="20" customWidth="1"/>
  </cols>
  <sheetData>
    <row r="1" spans="2:4" ht="6" customHeight="1" x14ac:dyDescent="0.3"/>
    <row r="2" spans="2:4" ht="36" customHeight="1" x14ac:dyDescent="0.3">
      <c r="B2" s="35" t="s">
        <v>0</v>
      </c>
      <c r="C2" s="35"/>
      <c r="D2" s="35"/>
    </row>
    <row r="3" spans="2:4" ht="21.75" customHeight="1" x14ac:dyDescent="0.3">
      <c r="B3" s="36" t="s">
        <v>1</v>
      </c>
      <c r="C3" s="36"/>
      <c r="D3" s="36"/>
    </row>
    <row r="4" spans="2:4" ht="9.75" customHeight="1" x14ac:dyDescent="0.3"/>
    <row r="5" spans="2:4" ht="27.75" customHeight="1" x14ac:dyDescent="0.3">
      <c r="B5" s="30" t="s">
        <v>2</v>
      </c>
      <c r="C5" s="34" t="s">
        <v>3</v>
      </c>
      <c r="D5" s="34"/>
    </row>
    <row r="6" spans="2:4" ht="60" customHeight="1" x14ac:dyDescent="0.3">
      <c r="B6" s="30"/>
      <c r="C6" s="32"/>
      <c r="D6" s="32"/>
    </row>
    <row r="7" spans="2:4" ht="6" customHeight="1" x14ac:dyDescent="0.3"/>
    <row r="8" spans="2:4" ht="27.75" customHeight="1" x14ac:dyDescent="0.3">
      <c r="B8" s="30" t="s">
        <v>4</v>
      </c>
      <c r="C8" s="31" t="s">
        <v>5</v>
      </c>
      <c r="D8" s="31"/>
    </row>
    <row r="9" spans="2:4" ht="117.75" customHeight="1" x14ac:dyDescent="0.3">
      <c r="B9" s="30"/>
      <c r="C9" s="32"/>
      <c r="D9" s="32"/>
    </row>
    <row r="10" spans="2:4" ht="6" customHeight="1" x14ac:dyDescent="0.3"/>
    <row r="11" spans="2:4" ht="27.75" customHeight="1" x14ac:dyDescent="0.3">
      <c r="B11" s="30" t="s">
        <v>6</v>
      </c>
      <c r="C11" s="31" t="s">
        <v>7</v>
      </c>
      <c r="D11" s="31"/>
    </row>
    <row r="12" spans="2:4" ht="81.75" customHeight="1" x14ac:dyDescent="0.3">
      <c r="B12" s="30"/>
      <c r="C12" s="32"/>
      <c r="D12" s="32"/>
    </row>
    <row r="13" spans="2:4" ht="6" customHeight="1" x14ac:dyDescent="0.3"/>
    <row r="14" spans="2:4" ht="27.75" customHeight="1" x14ac:dyDescent="0.3">
      <c r="B14" s="30" t="s">
        <v>8</v>
      </c>
      <c r="C14" s="33" t="s">
        <v>9</v>
      </c>
      <c r="D14" s="33"/>
    </row>
    <row r="15" spans="2:4" ht="99.75" customHeight="1" x14ac:dyDescent="0.3">
      <c r="B15" s="30"/>
      <c r="C15" s="32"/>
      <c r="D15" s="32"/>
    </row>
    <row r="16" spans="2:4" ht="6" customHeight="1" x14ac:dyDescent="0.3"/>
    <row r="17" spans="2:4" ht="27.75" customHeight="1" x14ac:dyDescent="0.3">
      <c r="B17" s="30" t="s">
        <v>10</v>
      </c>
      <c r="C17" s="34" t="s">
        <v>11</v>
      </c>
      <c r="D17" s="34"/>
    </row>
    <row r="18" spans="2:4" ht="99.75" customHeight="1" x14ac:dyDescent="0.3">
      <c r="B18" s="30"/>
      <c r="C18" s="32"/>
      <c r="D18" s="32"/>
    </row>
    <row r="19" spans="2:4" ht="6" customHeight="1" x14ac:dyDescent="0.3"/>
    <row r="20" spans="2:4" ht="27.75" customHeight="1" x14ac:dyDescent="0.3">
      <c r="B20" s="30" t="s">
        <v>12</v>
      </c>
      <c r="C20" s="31" t="s">
        <v>13</v>
      </c>
      <c r="D20" s="31"/>
    </row>
    <row r="21" spans="2:4" ht="81.75" customHeight="1" x14ac:dyDescent="0.3">
      <c r="B21" s="30"/>
      <c r="C21" s="32"/>
      <c r="D21" s="32"/>
    </row>
    <row r="22" spans="2:4" ht="6" customHeight="1" x14ac:dyDescent="0.3"/>
  </sheetData>
  <mergeCells count="20">
    <mergeCell ref="B2:D2"/>
    <mergeCell ref="B3:D3"/>
    <mergeCell ref="B5:B6"/>
    <mergeCell ref="C5:D5"/>
    <mergeCell ref="C6:D6"/>
    <mergeCell ref="B8:B9"/>
    <mergeCell ref="C8:D8"/>
    <mergeCell ref="C9:D9"/>
    <mergeCell ref="B11:B12"/>
    <mergeCell ref="C11:D11"/>
    <mergeCell ref="C12:D12"/>
    <mergeCell ref="B20:B21"/>
    <mergeCell ref="C20:D20"/>
    <mergeCell ref="C21:D21"/>
    <mergeCell ref="B14:B15"/>
    <mergeCell ref="C14:D14"/>
    <mergeCell ref="C15:D15"/>
    <mergeCell ref="B17:B18"/>
    <mergeCell ref="C17:D17"/>
    <mergeCell ref="C18:D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EED70-5370-44AB-A2AB-33659F7493E5}">
  <dimension ref="A1:D45"/>
  <sheetViews>
    <sheetView topLeftCell="A6" workbookViewId="0">
      <selection activeCell="D13" sqref="D13"/>
    </sheetView>
  </sheetViews>
  <sheetFormatPr baseColWidth="10" defaultRowHeight="14.4" x14ac:dyDescent="0.3"/>
  <cols>
    <col min="1" max="1" width="17.88671875" bestFit="1" customWidth="1"/>
    <col min="2" max="2" width="9.5546875" bestFit="1" customWidth="1"/>
    <col min="3" max="3" width="6" bestFit="1" customWidth="1"/>
    <col min="4" max="4" width="13" bestFit="1" customWidth="1"/>
  </cols>
  <sheetData>
    <row r="1" spans="1:4" x14ac:dyDescent="0.3">
      <c r="A1" t="s">
        <v>15</v>
      </c>
      <c r="B1" t="s">
        <v>16</v>
      </c>
      <c r="C1" t="s">
        <v>17</v>
      </c>
      <c r="D1" t="s">
        <v>65</v>
      </c>
    </row>
    <row r="2" spans="1:4" x14ac:dyDescent="0.3">
      <c r="A2" s="44" t="s">
        <v>24</v>
      </c>
      <c r="B2" s="44" t="s">
        <v>25</v>
      </c>
      <c r="C2">
        <v>5</v>
      </c>
      <c r="D2">
        <v>9.4839999999999994E-2</v>
      </c>
    </row>
    <row r="3" spans="1:4" x14ac:dyDescent="0.3">
      <c r="A3" s="44" t="s">
        <v>24</v>
      </c>
      <c r="B3" s="44" t="s">
        <v>25</v>
      </c>
      <c r="C3">
        <v>10</v>
      </c>
      <c r="D3">
        <v>4.8000000000000001E-4</v>
      </c>
    </row>
    <row r="4" spans="1:4" x14ac:dyDescent="0.3">
      <c r="A4" s="44" t="s">
        <v>24</v>
      </c>
      <c r="B4" s="44" t="s">
        <v>25</v>
      </c>
      <c r="C4">
        <v>15</v>
      </c>
      <c r="D4">
        <v>7.2000000000000005E-4</v>
      </c>
    </row>
    <row r="5" spans="1:4" x14ac:dyDescent="0.3">
      <c r="A5" s="44" t="s">
        <v>24</v>
      </c>
      <c r="B5" s="44" t="s">
        <v>25</v>
      </c>
      <c r="C5">
        <v>20</v>
      </c>
      <c r="D5">
        <v>5.8E-4</v>
      </c>
    </row>
    <row r="6" spans="1:4" x14ac:dyDescent="0.3">
      <c r="A6" s="44" t="s">
        <v>24</v>
      </c>
      <c r="B6" s="44" t="s">
        <v>25</v>
      </c>
      <c r="C6">
        <v>25</v>
      </c>
      <c r="D6">
        <v>5.5999999999999995E-4</v>
      </c>
    </row>
    <row r="7" spans="1:4" x14ac:dyDescent="0.3">
      <c r="A7" s="44" t="s">
        <v>24</v>
      </c>
      <c r="B7" s="44" t="s">
        <v>25</v>
      </c>
      <c r="C7">
        <v>30</v>
      </c>
      <c r="D7">
        <v>8.1999999999999998E-4</v>
      </c>
    </row>
    <row r="8" spans="1:4" x14ac:dyDescent="0.3">
      <c r="A8" s="44" t="s">
        <v>24</v>
      </c>
      <c r="B8" s="44" t="s">
        <v>26</v>
      </c>
      <c r="C8">
        <v>5</v>
      </c>
      <c r="D8">
        <v>1.1199999999999999E-3</v>
      </c>
    </row>
    <row r="9" spans="1:4" x14ac:dyDescent="0.3">
      <c r="A9" s="44" t="s">
        <v>24</v>
      </c>
      <c r="B9" s="44" t="s">
        <v>26</v>
      </c>
      <c r="C9">
        <v>10</v>
      </c>
      <c r="D9">
        <v>6.2E-4</v>
      </c>
    </row>
    <row r="10" spans="1:4" x14ac:dyDescent="0.3">
      <c r="A10" s="44" t="s">
        <v>24</v>
      </c>
      <c r="B10" s="44" t="s">
        <v>26</v>
      </c>
      <c r="C10">
        <v>15</v>
      </c>
      <c r="D10">
        <v>1.2800000000000001E-3</v>
      </c>
    </row>
    <row r="11" spans="1:4" x14ac:dyDescent="0.3">
      <c r="A11" s="44" t="s">
        <v>24</v>
      </c>
      <c r="B11" s="44" t="s">
        <v>26</v>
      </c>
      <c r="C11">
        <v>20</v>
      </c>
      <c r="D11">
        <v>1.16E-3</v>
      </c>
    </row>
    <row r="12" spans="1:4" x14ac:dyDescent="0.3">
      <c r="A12" s="44" t="s">
        <v>24</v>
      </c>
      <c r="B12" s="44" t="s">
        <v>26</v>
      </c>
      <c r="C12">
        <v>25</v>
      </c>
      <c r="D12">
        <v>0</v>
      </c>
    </row>
    <row r="13" spans="1:4" x14ac:dyDescent="0.3">
      <c r="A13" s="44" t="s">
        <v>24</v>
      </c>
      <c r="B13" s="44" t="s">
        <v>26</v>
      </c>
      <c r="C13">
        <v>30</v>
      </c>
      <c r="D13">
        <v>0</v>
      </c>
    </row>
    <row r="14" spans="1:4" x14ac:dyDescent="0.3">
      <c r="A14" s="44" t="s">
        <v>27</v>
      </c>
      <c r="B14" s="44" t="s">
        <v>25</v>
      </c>
      <c r="C14">
        <v>5</v>
      </c>
      <c r="D14">
        <v>0.1172</v>
      </c>
    </row>
    <row r="15" spans="1:4" x14ac:dyDescent="0.3">
      <c r="A15" s="44" t="s">
        <v>27</v>
      </c>
      <c r="B15" s="44" t="s">
        <v>25</v>
      </c>
      <c r="C15">
        <v>10</v>
      </c>
      <c r="D15">
        <v>4.4000000000000002E-4</v>
      </c>
    </row>
    <row r="16" spans="1:4" x14ac:dyDescent="0.3">
      <c r="A16" s="44" t="s">
        <v>27</v>
      </c>
      <c r="B16" s="44" t="s">
        <v>25</v>
      </c>
      <c r="C16">
        <v>15</v>
      </c>
      <c r="D16">
        <v>1.3799999999999999E-3</v>
      </c>
    </row>
    <row r="17" spans="1:4" x14ac:dyDescent="0.3">
      <c r="A17" s="44" t="s">
        <v>27</v>
      </c>
      <c r="B17" s="44" t="s">
        <v>25</v>
      </c>
      <c r="C17">
        <v>20</v>
      </c>
      <c r="D17">
        <v>7.7999999999999999E-4</v>
      </c>
    </row>
    <row r="18" spans="1:4" x14ac:dyDescent="0.3">
      <c r="A18" s="44" t="s">
        <v>27</v>
      </c>
      <c r="B18" s="44" t="s">
        <v>25</v>
      </c>
      <c r="C18">
        <v>25</v>
      </c>
      <c r="D18">
        <v>9.2000000000000003E-4</v>
      </c>
    </row>
    <row r="19" spans="1:4" x14ac:dyDescent="0.3">
      <c r="A19" s="44" t="s">
        <v>27</v>
      </c>
      <c r="B19" s="44" t="s">
        <v>25</v>
      </c>
      <c r="C19">
        <v>30</v>
      </c>
      <c r="D19">
        <v>9.7999999999999997E-4</v>
      </c>
    </row>
    <row r="20" spans="1:4" x14ac:dyDescent="0.3">
      <c r="A20" s="44" t="s">
        <v>27</v>
      </c>
      <c r="B20" s="44" t="s">
        <v>26</v>
      </c>
      <c r="C20">
        <v>5</v>
      </c>
      <c r="D20">
        <v>1.66E-3</v>
      </c>
    </row>
    <row r="21" spans="1:4" x14ac:dyDescent="0.3">
      <c r="A21" s="44" t="s">
        <v>27</v>
      </c>
      <c r="B21" s="44" t="s">
        <v>26</v>
      </c>
      <c r="C21">
        <v>10</v>
      </c>
      <c r="D21">
        <v>2.5059999999999999E-2</v>
      </c>
    </row>
    <row r="22" spans="1:4" x14ac:dyDescent="0.3">
      <c r="A22" s="44" t="s">
        <v>27</v>
      </c>
      <c r="B22" s="44" t="s">
        <v>26</v>
      </c>
      <c r="C22">
        <v>15</v>
      </c>
      <c r="D22">
        <v>1.26E-2</v>
      </c>
    </row>
    <row r="23" spans="1:4" x14ac:dyDescent="0.3">
      <c r="A23" s="44" t="s">
        <v>27</v>
      </c>
      <c r="B23" s="44" t="s">
        <v>26</v>
      </c>
      <c r="C23">
        <v>20</v>
      </c>
      <c r="D23">
        <v>4.8099999999999997E-2</v>
      </c>
    </row>
    <row r="24" spans="1:4" x14ac:dyDescent="0.3">
      <c r="A24" s="44" t="s">
        <v>27</v>
      </c>
      <c r="B24" s="44" t="s">
        <v>26</v>
      </c>
      <c r="C24">
        <v>25</v>
      </c>
      <c r="D24">
        <v>0.34350000000000003</v>
      </c>
    </row>
    <row r="25" spans="1:4" x14ac:dyDescent="0.3">
      <c r="A25" s="44" t="s">
        <v>27</v>
      </c>
      <c r="B25" s="44" t="s">
        <v>26</v>
      </c>
      <c r="C25">
        <v>30</v>
      </c>
      <c r="D25">
        <v>3.6474600000000001</v>
      </c>
    </row>
    <row r="26" spans="1:4" x14ac:dyDescent="0.3">
      <c r="A26" s="44" t="s">
        <v>28</v>
      </c>
      <c r="B26" s="44" t="s">
        <v>25</v>
      </c>
      <c r="C26">
        <v>100</v>
      </c>
      <c r="D26">
        <v>0.1212</v>
      </c>
    </row>
    <row r="27" spans="1:4" x14ac:dyDescent="0.3">
      <c r="A27" s="44" t="s">
        <v>28</v>
      </c>
      <c r="B27" s="44" t="s">
        <v>25</v>
      </c>
      <c r="C27">
        <v>500</v>
      </c>
      <c r="D27">
        <v>6.62E-3</v>
      </c>
    </row>
    <row r="28" spans="1:4" x14ac:dyDescent="0.3">
      <c r="A28" s="44" t="s">
        <v>28</v>
      </c>
      <c r="B28" s="44" t="s">
        <v>25</v>
      </c>
      <c r="C28">
        <v>1000</v>
      </c>
      <c r="D28">
        <v>1.272E-2</v>
      </c>
    </row>
    <row r="29" spans="1:4" x14ac:dyDescent="0.3">
      <c r="A29" s="44" t="s">
        <v>28</v>
      </c>
      <c r="B29" s="44" t="s">
        <v>25</v>
      </c>
      <c r="C29">
        <v>5000</v>
      </c>
      <c r="D29">
        <v>6.164E-2</v>
      </c>
    </row>
    <row r="30" spans="1:4" x14ac:dyDescent="0.3">
      <c r="A30" s="44" t="s">
        <v>28</v>
      </c>
      <c r="B30" s="44" t="s">
        <v>25</v>
      </c>
      <c r="C30">
        <v>10000</v>
      </c>
      <c r="D30">
        <v>0.14341999999999999</v>
      </c>
    </row>
    <row r="31" spans="1:4" x14ac:dyDescent="0.3">
      <c r="A31" s="44" t="s">
        <v>28</v>
      </c>
      <c r="B31" s="44" t="s">
        <v>26</v>
      </c>
      <c r="C31">
        <v>100</v>
      </c>
      <c r="D31">
        <v>7.26E-3</v>
      </c>
    </row>
    <row r="32" spans="1:4" x14ac:dyDescent="0.3">
      <c r="A32" s="44" t="s">
        <v>28</v>
      </c>
      <c r="B32" s="44" t="s">
        <v>26</v>
      </c>
      <c r="C32">
        <v>500</v>
      </c>
      <c r="D32">
        <v>8.3999999999999995E-3</v>
      </c>
    </row>
    <row r="33" spans="1:4" x14ac:dyDescent="0.3">
      <c r="A33" s="44" t="s">
        <v>28</v>
      </c>
      <c r="B33" s="44" t="s">
        <v>26</v>
      </c>
      <c r="C33">
        <v>1000</v>
      </c>
      <c r="D33">
        <v>1.6760000000000001E-2</v>
      </c>
    </row>
    <row r="34" spans="1:4" x14ac:dyDescent="0.3">
      <c r="A34" s="44" t="s">
        <v>28</v>
      </c>
      <c r="B34" s="44" t="s">
        <v>26</v>
      </c>
      <c r="C34">
        <v>5000</v>
      </c>
      <c r="D34">
        <v>6.7919999999999994E-2</v>
      </c>
    </row>
    <row r="35" spans="1:4" x14ac:dyDescent="0.3">
      <c r="A35" s="44" t="s">
        <v>28</v>
      </c>
      <c r="B35" s="44" t="s">
        <v>26</v>
      </c>
      <c r="C35">
        <v>10000</v>
      </c>
      <c r="D35">
        <v>6.5500000000000003E-2</v>
      </c>
    </row>
    <row r="36" spans="1:4" x14ac:dyDescent="0.3">
      <c r="A36" s="44" t="s">
        <v>29</v>
      </c>
      <c r="B36" s="44" t="s">
        <v>25</v>
      </c>
      <c r="C36">
        <v>100</v>
      </c>
      <c r="D36">
        <v>0.29004000000000002</v>
      </c>
    </row>
    <row r="37" spans="1:4" x14ac:dyDescent="0.3">
      <c r="A37" s="44" t="s">
        <v>29</v>
      </c>
      <c r="B37" s="44" t="s">
        <v>25</v>
      </c>
      <c r="C37">
        <v>500</v>
      </c>
      <c r="D37">
        <v>0.86792000000000002</v>
      </c>
    </row>
    <row r="38" spans="1:4" x14ac:dyDescent="0.3">
      <c r="A38" s="44" t="s">
        <v>29</v>
      </c>
      <c r="B38" s="44" t="s">
        <v>25</v>
      </c>
      <c r="C38">
        <v>1000</v>
      </c>
      <c r="D38">
        <v>1.4626999999999999</v>
      </c>
    </row>
    <row r="39" spans="1:4" x14ac:dyDescent="0.3">
      <c r="A39" s="44" t="s">
        <v>29</v>
      </c>
      <c r="B39" s="44" t="s">
        <v>25</v>
      </c>
      <c r="C39">
        <v>5000</v>
      </c>
      <c r="D39">
        <v>24.787500000000001</v>
      </c>
    </row>
    <row r="40" spans="1:4" x14ac:dyDescent="0.3">
      <c r="A40" s="44" t="s">
        <v>29</v>
      </c>
      <c r="B40" s="44" t="s">
        <v>25</v>
      </c>
      <c r="C40">
        <v>10000</v>
      </c>
      <c r="D40">
        <v>121.24822</v>
      </c>
    </row>
    <row r="41" spans="1:4" x14ac:dyDescent="0.3">
      <c r="A41" s="44" t="s">
        <v>29</v>
      </c>
      <c r="B41" s="44" t="s">
        <v>26</v>
      </c>
      <c r="C41">
        <v>100</v>
      </c>
      <c r="D41">
        <v>8.6139999999999994E-2</v>
      </c>
    </row>
    <row r="42" spans="1:4" x14ac:dyDescent="0.3">
      <c r="A42" s="44" t="s">
        <v>29</v>
      </c>
      <c r="B42" s="44" t="s">
        <v>26</v>
      </c>
      <c r="C42">
        <v>500</v>
      </c>
      <c r="D42">
        <v>0.54266000000000003</v>
      </c>
    </row>
    <row r="43" spans="1:4" x14ac:dyDescent="0.3">
      <c r="A43" s="44" t="s">
        <v>29</v>
      </c>
      <c r="B43" s="44" t="s">
        <v>26</v>
      </c>
      <c r="C43">
        <v>1000</v>
      </c>
      <c r="D43">
        <v>1.80132</v>
      </c>
    </row>
    <row r="44" spans="1:4" x14ac:dyDescent="0.3">
      <c r="A44" s="44" t="s">
        <v>29</v>
      </c>
      <c r="B44" s="44" t="s">
        <v>26</v>
      </c>
      <c r="C44">
        <v>5000</v>
      </c>
      <c r="D44">
        <v>22.329460000000001</v>
      </c>
    </row>
    <row r="45" spans="1:4" x14ac:dyDescent="0.3">
      <c r="A45" s="44" t="s">
        <v>29</v>
      </c>
      <c r="B45" s="44" t="s">
        <v>26</v>
      </c>
      <c r="C45">
        <v>10000</v>
      </c>
      <c r="D45">
        <v>106.8381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52"/>
  <sheetViews>
    <sheetView showGridLines="0" zoomScaleNormal="100" workbookViewId="0">
      <pane ySplit="2" topLeftCell="A3" activePane="bottomLeft" state="frozen"/>
      <selection pane="bottomLeft" activeCell="N11" sqref="N11"/>
    </sheetView>
  </sheetViews>
  <sheetFormatPr baseColWidth="10" defaultColWidth="8.6640625" defaultRowHeight="15" customHeight="1" x14ac:dyDescent="0.3"/>
  <cols>
    <col min="1" max="1" width="3" customWidth="1"/>
    <col min="2" max="2" width="22" customWidth="1"/>
    <col min="3" max="3" width="14" customWidth="1"/>
    <col min="4" max="4" width="12" customWidth="1"/>
    <col min="5" max="9" width="12" hidden="1" customWidth="1"/>
    <col min="10" max="10" width="14" customWidth="1"/>
    <col min="11" max="11" width="3" customWidth="1"/>
  </cols>
  <sheetData>
    <row r="1" spans="2:10" ht="33.75" customHeight="1" x14ac:dyDescent="0.3">
      <c r="B1" s="37" t="s">
        <v>14</v>
      </c>
      <c r="C1" s="37"/>
      <c r="D1" s="37"/>
      <c r="E1" s="37"/>
      <c r="F1" s="37"/>
      <c r="G1" s="37"/>
      <c r="H1" s="37"/>
      <c r="I1" s="37"/>
    </row>
    <row r="2" spans="2:10" ht="36" customHeight="1" x14ac:dyDescent="0.3"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2" t="s">
        <v>23</v>
      </c>
    </row>
    <row r="3" spans="2:10" ht="18" customHeight="1" x14ac:dyDescent="0.3">
      <c r="B3" s="3" t="s">
        <v>24</v>
      </c>
      <c r="C3" s="4" t="s">
        <v>25</v>
      </c>
      <c r="D3" s="5">
        <v>5</v>
      </c>
      <c r="E3" s="6">
        <f>tiempos1!D2</f>
        <v>9.4839999999999994E-2</v>
      </c>
      <c r="F3" s="6">
        <v>0</v>
      </c>
      <c r="G3" s="6">
        <v>0</v>
      </c>
      <c r="H3" s="6">
        <v>0</v>
      </c>
      <c r="I3" s="6">
        <v>0</v>
      </c>
      <c r="J3" s="7">
        <f t="shared" ref="J3:J14" si="0">AVERAGE(E3:I3)</f>
        <v>1.8967999999999999E-2</v>
      </c>
    </row>
    <row r="4" spans="2:10" ht="18" customHeight="1" x14ac:dyDescent="0.3">
      <c r="B4" s="3" t="s">
        <v>24</v>
      </c>
      <c r="C4" s="4" t="s">
        <v>25</v>
      </c>
      <c r="D4" s="5">
        <v>10</v>
      </c>
      <c r="E4" s="6">
        <f>tiempos1!D3</f>
        <v>4.8000000000000001E-4</v>
      </c>
      <c r="F4" s="6">
        <v>0</v>
      </c>
      <c r="G4" s="6">
        <v>0</v>
      </c>
      <c r="H4" s="6">
        <v>0</v>
      </c>
      <c r="I4" s="6">
        <v>0</v>
      </c>
      <c r="J4" s="7">
        <f t="shared" si="0"/>
        <v>9.6000000000000002E-5</v>
      </c>
    </row>
    <row r="5" spans="2:10" ht="18" customHeight="1" x14ac:dyDescent="0.3">
      <c r="B5" s="3" t="s">
        <v>24</v>
      </c>
      <c r="C5" s="4" t="s">
        <v>25</v>
      </c>
      <c r="D5" s="5">
        <v>15</v>
      </c>
      <c r="E5" s="6">
        <f>tiempos1!D4</f>
        <v>7.2000000000000005E-4</v>
      </c>
      <c r="F5" s="6">
        <v>0</v>
      </c>
      <c r="G5" s="6">
        <v>0</v>
      </c>
      <c r="H5" s="6">
        <v>0</v>
      </c>
      <c r="I5" s="6">
        <v>0</v>
      </c>
      <c r="J5" s="7">
        <f t="shared" si="0"/>
        <v>1.44E-4</v>
      </c>
    </row>
    <row r="6" spans="2:10" ht="18" customHeight="1" x14ac:dyDescent="0.3">
      <c r="B6" s="3" t="s">
        <v>24</v>
      </c>
      <c r="C6" s="4" t="s">
        <v>25</v>
      </c>
      <c r="D6" s="5">
        <v>20</v>
      </c>
      <c r="E6" s="6">
        <f>tiempos1!D5</f>
        <v>5.8E-4</v>
      </c>
      <c r="F6" s="6">
        <v>0</v>
      </c>
      <c r="G6" s="6">
        <v>0</v>
      </c>
      <c r="H6" s="6">
        <v>0</v>
      </c>
      <c r="I6" s="6">
        <v>0</v>
      </c>
      <c r="J6" s="7">
        <f t="shared" si="0"/>
        <v>1.16E-4</v>
      </c>
    </row>
    <row r="7" spans="2:10" ht="18" customHeight="1" x14ac:dyDescent="0.3">
      <c r="B7" s="3" t="s">
        <v>24</v>
      </c>
      <c r="C7" s="4" t="s">
        <v>25</v>
      </c>
      <c r="D7" s="5">
        <v>25</v>
      </c>
      <c r="E7" s="6">
        <f>tiempos1!D6</f>
        <v>5.5999999999999995E-4</v>
      </c>
      <c r="F7" s="6">
        <v>0</v>
      </c>
      <c r="G7" s="6">
        <v>0</v>
      </c>
      <c r="H7" s="6">
        <v>0</v>
      </c>
      <c r="I7" s="6">
        <v>0</v>
      </c>
      <c r="J7" s="7">
        <f t="shared" si="0"/>
        <v>1.1199999999999998E-4</v>
      </c>
    </row>
    <row r="8" spans="2:10" ht="18" customHeight="1" x14ac:dyDescent="0.3">
      <c r="B8" s="3" t="s">
        <v>24</v>
      </c>
      <c r="C8" s="4" t="s">
        <v>25</v>
      </c>
      <c r="D8" s="5">
        <v>30</v>
      </c>
      <c r="E8" s="6">
        <f>tiempos1!D7</f>
        <v>8.1999999999999998E-4</v>
      </c>
      <c r="F8" s="6">
        <v>0</v>
      </c>
      <c r="G8" s="6">
        <v>0</v>
      </c>
      <c r="H8" s="6">
        <v>0</v>
      </c>
      <c r="I8" s="6">
        <v>0</v>
      </c>
      <c r="J8" s="7">
        <f t="shared" si="0"/>
        <v>1.64E-4</v>
      </c>
    </row>
    <row r="9" spans="2:10" ht="18" customHeight="1" x14ac:dyDescent="0.3">
      <c r="B9" s="8" t="s">
        <v>24</v>
      </c>
      <c r="C9" s="9" t="s">
        <v>26</v>
      </c>
      <c r="D9" s="10">
        <v>5</v>
      </c>
      <c r="E9" s="6">
        <f>tiempos1!D8</f>
        <v>1.1199999999999999E-3</v>
      </c>
      <c r="F9" s="6">
        <v>0</v>
      </c>
      <c r="G9" s="6">
        <v>0</v>
      </c>
      <c r="H9" s="6">
        <v>0</v>
      </c>
      <c r="I9" s="6">
        <v>0</v>
      </c>
      <c r="J9" s="7">
        <f t="shared" si="0"/>
        <v>2.2399999999999997E-4</v>
      </c>
    </row>
    <row r="10" spans="2:10" ht="18" customHeight="1" x14ac:dyDescent="0.3">
      <c r="B10" s="8" t="s">
        <v>24</v>
      </c>
      <c r="C10" s="9" t="s">
        <v>26</v>
      </c>
      <c r="D10" s="10">
        <v>10</v>
      </c>
      <c r="E10" s="6">
        <f>tiempos1!D9</f>
        <v>6.2E-4</v>
      </c>
      <c r="F10" s="6">
        <v>0</v>
      </c>
      <c r="G10" s="6">
        <v>0</v>
      </c>
      <c r="H10" s="6">
        <v>0</v>
      </c>
      <c r="I10" s="6">
        <v>0</v>
      </c>
      <c r="J10" s="7">
        <f t="shared" si="0"/>
        <v>1.2400000000000001E-4</v>
      </c>
    </row>
    <row r="11" spans="2:10" ht="18" customHeight="1" x14ac:dyDescent="0.3">
      <c r="B11" s="8" t="s">
        <v>24</v>
      </c>
      <c r="C11" s="9" t="s">
        <v>26</v>
      </c>
      <c r="D11" s="10">
        <v>15</v>
      </c>
      <c r="E11" s="6">
        <f>tiempos1!D10</f>
        <v>1.2800000000000001E-3</v>
      </c>
      <c r="F11" s="6">
        <v>0</v>
      </c>
      <c r="G11" s="6">
        <v>0</v>
      </c>
      <c r="H11" s="6">
        <v>0</v>
      </c>
      <c r="I11" s="6">
        <v>0</v>
      </c>
      <c r="J11" s="7">
        <f t="shared" si="0"/>
        <v>2.5600000000000004E-4</v>
      </c>
    </row>
    <row r="12" spans="2:10" ht="18" customHeight="1" x14ac:dyDescent="0.3">
      <c r="B12" s="8" t="s">
        <v>24</v>
      </c>
      <c r="C12" s="9" t="s">
        <v>26</v>
      </c>
      <c r="D12" s="10">
        <v>20</v>
      </c>
      <c r="E12" s="6">
        <f>tiempos1!D11</f>
        <v>1.16E-3</v>
      </c>
      <c r="F12" s="6">
        <v>0</v>
      </c>
      <c r="G12" s="6">
        <v>0</v>
      </c>
      <c r="H12" s="6">
        <v>0</v>
      </c>
      <c r="I12" s="6">
        <v>0</v>
      </c>
      <c r="J12" s="7">
        <f t="shared" si="0"/>
        <v>2.32E-4</v>
      </c>
    </row>
    <row r="13" spans="2:10" ht="18" customHeight="1" x14ac:dyDescent="0.3">
      <c r="B13" s="8" t="s">
        <v>24</v>
      </c>
      <c r="C13" s="9" t="s">
        <v>26</v>
      </c>
      <c r="D13" s="10">
        <v>25</v>
      </c>
      <c r="E13" s="6">
        <f>tiempos1!D12</f>
        <v>0</v>
      </c>
      <c r="F13" s="6">
        <v>0</v>
      </c>
      <c r="G13" s="6">
        <v>0</v>
      </c>
      <c r="H13" s="6">
        <v>0</v>
      </c>
      <c r="I13" s="6">
        <v>0</v>
      </c>
      <c r="J13" s="7">
        <f t="shared" si="0"/>
        <v>0</v>
      </c>
    </row>
    <row r="14" spans="2:10" ht="18" customHeight="1" x14ac:dyDescent="0.3">
      <c r="B14" s="8" t="s">
        <v>24</v>
      </c>
      <c r="C14" s="9" t="s">
        <v>26</v>
      </c>
      <c r="D14" s="10">
        <v>30</v>
      </c>
      <c r="E14" s="6">
        <f>tiempos1!D13</f>
        <v>0</v>
      </c>
      <c r="F14" s="6">
        <v>0</v>
      </c>
      <c r="G14" s="6">
        <v>0</v>
      </c>
      <c r="H14" s="6">
        <v>0</v>
      </c>
      <c r="I14" s="6">
        <v>0</v>
      </c>
      <c r="J14" s="7">
        <f t="shared" si="0"/>
        <v>0</v>
      </c>
    </row>
    <row r="16" spans="2:10" ht="18" customHeight="1" x14ac:dyDescent="0.3">
      <c r="B16" s="3" t="s">
        <v>27</v>
      </c>
      <c r="C16" s="4" t="s">
        <v>25</v>
      </c>
      <c r="D16" s="5">
        <v>5</v>
      </c>
      <c r="E16" s="6">
        <f>tiempos1!D14</f>
        <v>0.1172</v>
      </c>
      <c r="F16" s="6">
        <v>0</v>
      </c>
      <c r="G16" s="6">
        <v>0</v>
      </c>
      <c r="H16" s="6">
        <v>0</v>
      </c>
      <c r="I16" s="6">
        <v>0</v>
      </c>
      <c r="J16" s="7">
        <f t="shared" ref="J16:J27" si="1">AVERAGE(E16:I16)</f>
        <v>2.3439999999999999E-2</v>
      </c>
    </row>
    <row r="17" spans="2:10" ht="18" customHeight="1" x14ac:dyDescent="0.3">
      <c r="B17" s="3" t="s">
        <v>27</v>
      </c>
      <c r="C17" s="4" t="s">
        <v>25</v>
      </c>
      <c r="D17" s="5">
        <v>10</v>
      </c>
      <c r="E17" s="6">
        <f>tiempos1!D15</f>
        <v>4.4000000000000002E-4</v>
      </c>
      <c r="F17" s="6">
        <v>0</v>
      </c>
      <c r="G17" s="6">
        <v>0</v>
      </c>
      <c r="H17" s="6">
        <v>0</v>
      </c>
      <c r="I17" s="6">
        <v>0</v>
      </c>
      <c r="J17" s="7">
        <f t="shared" si="1"/>
        <v>8.7999999999999998E-5</v>
      </c>
    </row>
    <row r="18" spans="2:10" ht="18" customHeight="1" x14ac:dyDescent="0.3">
      <c r="B18" s="3" t="s">
        <v>27</v>
      </c>
      <c r="C18" s="4" t="s">
        <v>25</v>
      </c>
      <c r="D18" s="5">
        <v>15</v>
      </c>
      <c r="E18" s="6">
        <f>tiempos1!D16</f>
        <v>1.3799999999999999E-3</v>
      </c>
      <c r="F18" s="6">
        <v>0</v>
      </c>
      <c r="G18" s="6">
        <v>0</v>
      </c>
      <c r="H18" s="6">
        <v>0</v>
      </c>
      <c r="I18" s="6">
        <v>0</v>
      </c>
      <c r="J18" s="7">
        <f t="shared" si="1"/>
        <v>2.7599999999999999E-4</v>
      </c>
    </row>
    <row r="19" spans="2:10" ht="18" customHeight="1" x14ac:dyDescent="0.3">
      <c r="B19" s="3" t="s">
        <v>27</v>
      </c>
      <c r="C19" s="4" t="s">
        <v>25</v>
      </c>
      <c r="D19" s="5">
        <v>20</v>
      </c>
      <c r="E19" s="6">
        <f>tiempos1!D17</f>
        <v>7.7999999999999999E-4</v>
      </c>
      <c r="F19" s="6">
        <v>0</v>
      </c>
      <c r="G19" s="6">
        <v>0</v>
      </c>
      <c r="H19" s="6">
        <v>0</v>
      </c>
      <c r="I19" s="6">
        <v>0</v>
      </c>
      <c r="J19" s="7">
        <f t="shared" si="1"/>
        <v>1.56E-4</v>
      </c>
    </row>
    <row r="20" spans="2:10" ht="18" customHeight="1" x14ac:dyDescent="0.3">
      <c r="B20" s="3" t="s">
        <v>27</v>
      </c>
      <c r="C20" s="4" t="s">
        <v>25</v>
      </c>
      <c r="D20" s="5">
        <v>25</v>
      </c>
      <c r="E20" s="6">
        <f>tiempos1!D18</f>
        <v>9.2000000000000003E-4</v>
      </c>
      <c r="F20" s="6">
        <v>0</v>
      </c>
      <c r="G20" s="6">
        <v>0</v>
      </c>
      <c r="H20" s="6">
        <v>0</v>
      </c>
      <c r="I20" s="6">
        <v>0</v>
      </c>
      <c r="J20" s="7">
        <f t="shared" si="1"/>
        <v>1.84E-4</v>
      </c>
    </row>
    <row r="21" spans="2:10" ht="18" customHeight="1" x14ac:dyDescent="0.3">
      <c r="B21" s="3" t="s">
        <v>27</v>
      </c>
      <c r="C21" s="4" t="s">
        <v>25</v>
      </c>
      <c r="D21" s="5">
        <v>30</v>
      </c>
      <c r="E21" s="6">
        <f>tiempos1!D19</f>
        <v>9.7999999999999997E-4</v>
      </c>
      <c r="F21" s="6">
        <v>0</v>
      </c>
      <c r="G21" s="6">
        <v>0</v>
      </c>
      <c r="H21" s="6">
        <v>0</v>
      </c>
      <c r="I21" s="6">
        <v>0</v>
      </c>
      <c r="J21" s="7">
        <f t="shared" si="1"/>
        <v>1.9599999999999999E-4</v>
      </c>
    </row>
    <row r="22" spans="2:10" ht="18" customHeight="1" x14ac:dyDescent="0.3">
      <c r="B22" s="8" t="s">
        <v>27</v>
      </c>
      <c r="C22" s="9" t="s">
        <v>26</v>
      </c>
      <c r="D22" s="10">
        <v>5</v>
      </c>
      <c r="E22" s="6">
        <f>tiempos1!D20</f>
        <v>1.66E-3</v>
      </c>
      <c r="F22" s="6">
        <v>0</v>
      </c>
      <c r="G22" s="6">
        <v>0</v>
      </c>
      <c r="H22" s="6">
        <v>0</v>
      </c>
      <c r="I22" s="6">
        <v>0</v>
      </c>
      <c r="J22" s="7">
        <f t="shared" si="1"/>
        <v>3.3199999999999999E-4</v>
      </c>
    </row>
    <row r="23" spans="2:10" ht="18" customHeight="1" x14ac:dyDescent="0.3">
      <c r="B23" s="8" t="s">
        <v>27</v>
      </c>
      <c r="C23" s="9" t="s">
        <v>26</v>
      </c>
      <c r="D23" s="10">
        <v>10</v>
      </c>
      <c r="E23" s="6">
        <f>tiempos1!D21</f>
        <v>2.5059999999999999E-2</v>
      </c>
      <c r="F23" s="6">
        <v>0</v>
      </c>
      <c r="G23" s="6">
        <v>0</v>
      </c>
      <c r="H23" s="6">
        <v>0</v>
      </c>
      <c r="I23" s="6">
        <v>0</v>
      </c>
      <c r="J23" s="7">
        <f t="shared" si="1"/>
        <v>5.012E-3</v>
      </c>
    </row>
    <row r="24" spans="2:10" ht="18" customHeight="1" x14ac:dyDescent="0.3">
      <c r="B24" s="8" t="s">
        <v>27</v>
      </c>
      <c r="C24" s="9" t="s">
        <v>26</v>
      </c>
      <c r="D24" s="10">
        <v>15</v>
      </c>
      <c r="E24" s="6">
        <f>tiempos1!D22</f>
        <v>1.26E-2</v>
      </c>
      <c r="F24" s="6">
        <v>0</v>
      </c>
      <c r="G24" s="6">
        <v>0</v>
      </c>
      <c r="H24" s="6">
        <v>0</v>
      </c>
      <c r="I24" s="6">
        <v>0</v>
      </c>
      <c r="J24" s="7">
        <f t="shared" si="1"/>
        <v>2.5200000000000001E-3</v>
      </c>
    </row>
    <row r="25" spans="2:10" ht="18" customHeight="1" x14ac:dyDescent="0.3">
      <c r="B25" s="8" t="s">
        <v>27</v>
      </c>
      <c r="C25" s="9" t="s">
        <v>26</v>
      </c>
      <c r="D25" s="10">
        <v>20</v>
      </c>
      <c r="E25" s="6">
        <f>tiempos1!D23</f>
        <v>4.8099999999999997E-2</v>
      </c>
      <c r="F25" s="6">
        <v>0</v>
      </c>
      <c r="G25" s="6">
        <v>0</v>
      </c>
      <c r="H25" s="6">
        <v>0</v>
      </c>
      <c r="I25" s="6">
        <v>0</v>
      </c>
      <c r="J25" s="7">
        <f t="shared" si="1"/>
        <v>9.6200000000000001E-3</v>
      </c>
    </row>
    <row r="26" spans="2:10" ht="18" customHeight="1" x14ac:dyDescent="0.3">
      <c r="B26" s="8" t="s">
        <v>27</v>
      </c>
      <c r="C26" s="9" t="s">
        <v>26</v>
      </c>
      <c r="D26" s="10">
        <v>25</v>
      </c>
      <c r="E26" s="6">
        <f>tiempos1!D24</f>
        <v>0.34350000000000003</v>
      </c>
      <c r="F26" s="6">
        <v>0</v>
      </c>
      <c r="G26" s="6">
        <v>0</v>
      </c>
      <c r="H26" s="6">
        <v>0</v>
      </c>
      <c r="I26" s="6">
        <v>0</v>
      </c>
      <c r="J26" s="7">
        <f t="shared" si="1"/>
        <v>6.8700000000000011E-2</v>
      </c>
    </row>
    <row r="27" spans="2:10" ht="18" customHeight="1" x14ac:dyDescent="0.3">
      <c r="B27" s="8" t="s">
        <v>27</v>
      </c>
      <c r="C27" s="9" t="s">
        <v>26</v>
      </c>
      <c r="D27" s="10">
        <v>30</v>
      </c>
      <c r="E27" s="6">
        <f>tiempos1!D25</f>
        <v>3.6474600000000001</v>
      </c>
      <c r="F27" s="6">
        <v>0</v>
      </c>
      <c r="G27" s="6">
        <v>0</v>
      </c>
      <c r="H27" s="6">
        <v>0</v>
      </c>
      <c r="I27" s="6">
        <v>0</v>
      </c>
      <c r="J27" s="7">
        <f t="shared" si="1"/>
        <v>0.72949200000000003</v>
      </c>
    </row>
    <row r="29" spans="2:10" ht="18" customHeight="1" x14ac:dyDescent="0.3">
      <c r="B29" s="3" t="s">
        <v>28</v>
      </c>
      <c r="C29" s="4" t="s">
        <v>25</v>
      </c>
      <c r="D29" s="5">
        <v>100</v>
      </c>
      <c r="E29" s="6">
        <f>tiempos1!D26</f>
        <v>0.1212</v>
      </c>
      <c r="F29" s="6">
        <v>0</v>
      </c>
      <c r="G29" s="6">
        <v>0</v>
      </c>
      <c r="H29" s="6">
        <v>0</v>
      </c>
      <c r="I29" s="6">
        <v>0</v>
      </c>
      <c r="J29" s="7">
        <f t="shared" ref="J29:J38" si="2">AVERAGE(E29:I29)</f>
        <v>2.4240000000000001E-2</v>
      </c>
    </row>
    <row r="30" spans="2:10" ht="18" customHeight="1" x14ac:dyDescent="0.3">
      <c r="B30" s="3" t="s">
        <v>28</v>
      </c>
      <c r="C30" s="4" t="s">
        <v>25</v>
      </c>
      <c r="D30" s="5">
        <v>500</v>
      </c>
      <c r="E30" s="6">
        <f>tiempos1!D27</f>
        <v>6.62E-3</v>
      </c>
      <c r="F30" s="6">
        <v>0</v>
      </c>
      <c r="G30" s="6">
        <v>0</v>
      </c>
      <c r="H30" s="6">
        <v>0</v>
      </c>
      <c r="I30" s="6">
        <v>0</v>
      </c>
      <c r="J30" s="7">
        <f t="shared" si="2"/>
        <v>1.3240000000000001E-3</v>
      </c>
    </row>
    <row r="31" spans="2:10" ht="18" customHeight="1" x14ac:dyDescent="0.3">
      <c r="B31" s="3" t="s">
        <v>28</v>
      </c>
      <c r="C31" s="4" t="s">
        <v>25</v>
      </c>
      <c r="D31" s="5">
        <v>1000</v>
      </c>
      <c r="E31" s="6">
        <f>tiempos1!D28</f>
        <v>1.272E-2</v>
      </c>
      <c r="F31" s="6">
        <v>0</v>
      </c>
      <c r="G31" s="6">
        <v>0</v>
      </c>
      <c r="H31" s="6">
        <v>0</v>
      </c>
      <c r="I31" s="6">
        <v>0</v>
      </c>
      <c r="J31" s="7">
        <f t="shared" si="2"/>
        <v>2.5440000000000003E-3</v>
      </c>
    </row>
    <row r="32" spans="2:10" ht="18" customHeight="1" x14ac:dyDescent="0.3">
      <c r="B32" s="3" t="s">
        <v>28</v>
      </c>
      <c r="C32" s="4" t="s">
        <v>25</v>
      </c>
      <c r="D32" s="5">
        <v>5000</v>
      </c>
      <c r="E32" s="6">
        <f>tiempos1!D29</f>
        <v>6.164E-2</v>
      </c>
      <c r="F32" s="6">
        <v>0</v>
      </c>
      <c r="G32" s="6">
        <v>0</v>
      </c>
      <c r="H32" s="6">
        <v>0</v>
      </c>
      <c r="I32" s="6">
        <v>0</v>
      </c>
      <c r="J32" s="7">
        <f t="shared" si="2"/>
        <v>1.2328E-2</v>
      </c>
    </row>
    <row r="33" spans="2:10" ht="18" customHeight="1" x14ac:dyDescent="0.3">
      <c r="B33" s="3" t="s">
        <v>28</v>
      </c>
      <c r="C33" s="4" t="s">
        <v>25</v>
      </c>
      <c r="D33" s="5">
        <v>10000</v>
      </c>
      <c r="E33" s="6">
        <f>tiempos1!D30</f>
        <v>0.14341999999999999</v>
      </c>
      <c r="F33" s="6">
        <v>0</v>
      </c>
      <c r="G33" s="6">
        <v>0</v>
      </c>
      <c r="H33" s="6">
        <v>0</v>
      </c>
      <c r="I33" s="6">
        <v>0</v>
      </c>
      <c r="J33" s="7">
        <f t="shared" si="2"/>
        <v>2.8683999999999998E-2</v>
      </c>
    </row>
    <row r="34" spans="2:10" ht="18" customHeight="1" x14ac:dyDescent="0.3">
      <c r="B34" s="8" t="s">
        <v>28</v>
      </c>
      <c r="C34" s="9" t="s">
        <v>26</v>
      </c>
      <c r="D34" s="10">
        <v>100</v>
      </c>
      <c r="E34" s="6">
        <f>tiempos1!D31</f>
        <v>7.26E-3</v>
      </c>
      <c r="F34" s="6">
        <v>0</v>
      </c>
      <c r="G34" s="6">
        <v>0</v>
      </c>
      <c r="H34" s="6">
        <v>0</v>
      </c>
      <c r="I34" s="6">
        <v>0</v>
      </c>
      <c r="J34" s="7">
        <f t="shared" si="2"/>
        <v>1.4519999999999999E-3</v>
      </c>
    </row>
    <row r="35" spans="2:10" ht="18" customHeight="1" x14ac:dyDescent="0.3">
      <c r="B35" s="8" t="s">
        <v>28</v>
      </c>
      <c r="C35" s="9" t="s">
        <v>26</v>
      </c>
      <c r="D35" s="10">
        <v>500</v>
      </c>
      <c r="E35" s="6">
        <f>tiempos1!D32</f>
        <v>8.3999999999999995E-3</v>
      </c>
      <c r="F35" s="6">
        <v>0</v>
      </c>
      <c r="G35" s="6">
        <v>0</v>
      </c>
      <c r="H35" s="6">
        <v>0</v>
      </c>
      <c r="I35" s="6">
        <v>0</v>
      </c>
      <c r="J35" s="7">
        <f t="shared" si="2"/>
        <v>1.6799999999999999E-3</v>
      </c>
    </row>
    <row r="36" spans="2:10" ht="18" customHeight="1" x14ac:dyDescent="0.3">
      <c r="B36" s="8" t="s">
        <v>28</v>
      </c>
      <c r="C36" s="9" t="s">
        <v>26</v>
      </c>
      <c r="D36" s="10">
        <v>1000</v>
      </c>
      <c r="E36" s="6">
        <f>tiempos1!D33</f>
        <v>1.6760000000000001E-2</v>
      </c>
      <c r="F36" s="6">
        <v>0</v>
      </c>
      <c r="G36" s="6">
        <v>0</v>
      </c>
      <c r="H36" s="6">
        <v>0</v>
      </c>
      <c r="I36" s="6">
        <v>0</v>
      </c>
      <c r="J36" s="7">
        <f t="shared" si="2"/>
        <v>3.3519999999999999E-3</v>
      </c>
    </row>
    <row r="37" spans="2:10" ht="18" customHeight="1" x14ac:dyDescent="0.3">
      <c r="B37" s="8" t="s">
        <v>28</v>
      </c>
      <c r="C37" s="9" t="s">
        <v>26</v>
      </c>
      <c r="D37" s="10">
        <v>5000</v>
      </c>
      <c r="E37" s="6">
        <f>tiempos1!D34</f>
        <v>6.7919999999999994E-2</v>
      </c>
      <c r="F37" s="6">
        <v>0</v>
      </c>
      <c r="G37" s="6">
        <v>0</v>
      </c>
      <c r="H37" s="6">
        <v>0</v>
      </c>
      <c r="I37" s="6">
        <v>0</v>
      </c>
      <c r="J37" s="7">
        <f t="shared" si="2"/>
        <v>1.3583999999999999E-2</v>
      </c>
    </row>
    <row r="38" spans="2:10" ht="18" customHeight="1" x14ac:dyDescent="0.3">
      <c r="B38" s="8" t="s">
        <v>28</v>
      </c>
      <c r="C38" s="9" t="s">
        <v>26</v>
      </c>
      <c r="D38" s="10">
        <v>10000</v>
      </c>
      <c r="E38" s="6">
        <f>tiempos1!D35</f>
        <v>6.5500000000000003E-2</v>
      </c>
      <c r="F38" s="6">
        <v>0</v>
      </c>
      <c r="G38" s="6">
        <v>0</v>
      </c>
      <c r="H38" s="6">
        <v>0</v>
      </c>
      <c r="I38" s="6">
        <v>0</v>
      </c>
      <c r="J38" s="7">
        <f t="shared" si="2"/>
        <v>1.3100000000000001E-2</v>
      </c>
    </row>
    <row r="40" spans="2:10" ht="18" customHeight="1" x14ac:dyDescent="0.3">
      <c r="B40" s="3" t="s">
        <v>29</v>
      </c>
      <c r="C40" s="4" t="s">
        <v>25</v>
      </c>
      <c r="D40" s="5">
        <v>100</v>
      </c>
      <c r="E40" s="6">
        <f>tiempos1!D36</f>
        <v>0.29004000000000002</v>
      </c>
      <c r="F40" s="6">
        <v>0</v>
      </c>
      <c r="G40" s="6">
        <v>0</v>
      </c>
      <c r="H40" s="6">
        <v>0</v>
      </c>
      <c r="I40" s="6">
        <v>0</v>
      </c>
      <c r="J40" s="7">
        <f t="shared" ref="J40:J49" si="3">AVERAGE(E40:I40)</f>
        <v>5.8008000000000004E-2</v>
      </c>
    </row>
    <row r="41" spans="2:10" ht="18" customHeight="1" x14ac:dyDescent="0.3">
      <c r="B41" s="3" t="s">
        <v>29</v>
      </c>
      <c r="C41" s="4" t="s">
        <v>25</v>
      </c>
      <c r="D41" s="5">
        <v>500</v>
      </c>
      <c r="E41" s="6">
        <f>tiempos1!D37</f>
        <v>0.86792000000000002</v>
      </c>
      <c r="F41" s="6">
        <v>0</v>
      </c>
      <c r="G41" s="6">
        <v>0</v>
      </c>
      <c r="H41" s="6">
        <v>0</v>
      </c>
      <c r="I41" s="6">
        <v>0</v>
      </c>
      <c r="J41" s="7">
        <f t="shared" si="3"/>
        <v>0.17358400000000002</v>
      </c>
    </row>
    <row r="42" spans="2:10" ht="18" customHeight="1" x14ac:dyDescent="0.3">
      <c r="B42" s="3" t="s">
        <v>29</v>
      </c>
      <c r="C42" s="4" t="s">
        <v>25</v>
      </c>
      <c r="D42" s="5">
        <v>1000</v>
      </c>
      <c r="E42" s="6">
        <f>tiempos1!D38</f>
        <v>1.4626999999999999</v>
      </c>
      <c r="F42" s="6">
        <v>0</v>
      </c>
      <c r="G42" s="6">
        <v>0</v>
      </c>
      <c r="H42" s="6">
        <v>0</v>
      </c>
      <c r="I42" s="6">
        <v>0</v>
      </c>
      <c r="J42" s="7">
        <f t="shared" si="3"/>
        <v>0.29253999999999997</v>
      </c>
    </row>
    <row r="43" spans="2:10" ht="18" customHeight="1" x14ac:dyDescent="0.3">
      <c r="B43" s="3" t="s">
        <v>29</v>
      </c>
      <c r="C43" s="4" t="s">
        <v>25</v>
      </c>
      <c r="D43" s="5">
        <v>5000</v>
      </c>
      <c r="E43" s="6">
        <f>tiempos1!D39</f>
        <v>24.787500000000001</v>
      </c>
      <c r="F43" s="6">
        <v>0</v>
      </c>
      <c r="G43" s="6">
        <v>0</v>
      </c>
      <c r="H43" s="6">
        <v>0</v>
      </c>
      <c r="I43" s="6">
        <v>0</v>
      </c>
      <c r="J43" s="7">
        <f t="shared" si="3"/>
        <v>4.9575000000000005</v>
      </c>
    </row>
    <row r="44" spans="2:10" ht="18" customHeight="1" x14ac:dyDescent="0.3">
      <c r="B44" s="3" t="s">
        <v>29</v>
      </c>
      <c r="C44" s="4" t="s">
        <v>25</v>
      </c>
      <c r="D44" s="5">
        <v>10000</v>
      </c>
      <c r="E44" s="6">
        <f>tiempos1!D40</f>
        <v>121.24822</v>
      </c>
      <c r="F44" s="6">
        <v>0</v>
      </c>
      <c r="G44" s="6">
        <v>0</v>
      </c>
      <c r="H44" s="6">
        <v>0</v>
      </c>
      <c r="I44" s="6">
        <v>0</v>
      </c>
      <c r="J44" s="7">
        <f t="shared" si="3"/>
        <v>24.249644</v>
      </c>
    </row>
    <row r="45" spans="2:10" ht="18" customHeight="1" x14ac:dyDescent="0.3">
      <c r="B45" s="8" t="s">
        <v>29</v>
      </c>
      <c r="C45" s="9" t="s">
        <v>26</v>
      </c>
      <c r="D45" s="10">
        <v>100</v>
      </c>
      <c r="E45" s="6">
        <f>tiempos1!D41</f>
        <v>8.6139999999999994E-2</v>
      </c>
      <c r="F45" s="6">
        <v>0</v>
      </c>
      <c r="G45" s="6">
        <v>0</v>
      </c>
      <c r="H45" s="6">
        <v>0</v>
      </c>
      <c r="I45" s="6">
        <v>0</v>
      </c>
      <c r="J45" s="7">
        <f t="shared" si="3"/>
        <v>1.7228E-2</v>
      </c>
    </row>
    <row r="46" spans="2:10" ht="18" customHeight="1" x14ac:dyDescent="0.3">
      <c r="B46" s="8" t="s">
        <v>29</v>
      </c>
      <c r="C46" s="9" t="s">
        <v>26</v>
      </c>
      <c r="D46" s="10">
        <v>500</v>
      </c>
      <c r="E46" s="6">
        <f>tiempos1!D42</f>
        <v>0.54266000000000003</v>
      </c>
      <c r="F46" s="6">
        <v>0</v>
      </c>
      <c r="G46" s="6">
        <v>0</v>
      </c>
      <c r="H46" s="6">
        <v>0</v>
      </c>
      <c r="I46" s="6">
        <v>0</v>
      </c>
      <c r="J46" s="7">
        <f t="shared" si="3"/>
        <v>0.108532</v>
      </c>
    </row>
    <row r="47" spans="2:10" ht="18" customHeight="1" x14ac:dyDescent="0.3">
      <c r="B47" s="8" t="s">
        <v>29</v>
      </c>
      <c r="C47" s="9" t="s">
        <v>26</v>
      </c>
      <c r="D47" s="10">
        <v>1000</v>
      </c>
      <c r="E47" s="6">
        <f>tiempos1!D43</f>
        <v>1.80132</v>
      </c>
      <c r="F47" s="6">
        <v>0</v>
      </c>
      <c r="G47" s="6">
        <v>0</v>
      </c>
      <c r="H47" s="6">
        <v>0</v>
      </c>
      <c r="I47" s="6">
        <v>0</v>
      </c>
      <c r="J47" s="7">
        <f t="shared" si="3"/>
        <v>0.36026400000000003</v>
      </c>
    </row>
    <row r="48" spans="2:10" ht="18" customHeight="1" x14ac:dyDescent="0.3">
      <c r="B48" s="8" t="s">
        <v>29</v>
      </c>
      <c r="C48" s="9" t="s">
        <v>26</v>
      </c>
      <c r="D48" s="10">
        <v>5000</v>
      </c>
      <c r="E48" s="6">
        <f>tiempos1!D44</f>
        <v>22.329460000000001</v>
      </c>
      <c r="F48" s="6">
        <v>0</v>
      </c>
      <c r="G48" s="6">
        <v>0</v>
      </c>
      <c r="H48" s="6">
        <v>0</v>
      </c>
      <c r="I48" s="6">
        <v>0</v>
      </c>
      <c r="J48" s="7">
        <f t="shared" si="3"/>
        <v>4.4658920000000002</v>
      </c>
    </row>
    <row r="49" spans="2:10" ht="18" customHeight="1" x14ac:dyDescent="0.3">
      <c r="B49" s="8" t="s">
        <v>29</v>
      </c>
      <c r="C49" s="9" t="s">
        <v>26</v>
      </c>
      <c r="D49" s="10">
        <v>10000</v>
      </c>
      <c r="E49" s="6">
        <f>tiempos1!D45</f>
        <v>106.8381</v>
      </c>
      <c r="F49" s="6">
        <v>0</v>
      </c>
      <c r="G49" s="6">
        <v>0</v>
      </c>
      <c r="H49" s="6">
        <v>0</v>
      </c>
      <c r="I49" s="6">
        <v>0</v>
      </c>
      <c r="J49" s="7">
        <f t="shared" si="3"/>
        <v>21.367619999999999</v>
      </c>
    </row>
    <row r="52" spans="2:10" ht="14.4" x14ac:dyDescent="0.3">
      <c r="B52" s="38" t="s">
        <v>30</v>
      </c>
      <c r="C52" s="38"/>
      <c r="D52" s="38"/>
      <c r="E52" s="38"/>
      <c r="F52" s="38"/>
      <c r="G52" s="38"/>
      <c r="H52" s="38"/>
      <c r="I52" s="38"/>
      <c r="J52" s="38"/>
    </row>
  </sheetData>
  <mergeCells count="2">
    <mergeCell ref="B1:I1"/>
    <mergeCell ref="B52:J5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2"/>
  <sheetViews>
    <sheetView showGridLines="0" zoomScaleNormal="100" workbookViewId="0">
      <selection activeCell="D17" sqref="D17"/>
    </sheetView>
  </sheetViews>
  <sheetFormatPr baseColWidth="10" defaultColWidth="8.6640625" defaultRowHeight="15" customHeight="1" x14ac:dyDescent="0.3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3">
      <c r="B1" s="37" t="s">
        <v>31</v>
      </c>
      <c r="C1" s="37"/>
      <c r="D1" s="37"/>
    </row>
    <row r="2" spans="2:4" ht="21.75" customHeight="1" x14ac:dyDescent="0.3">
      <c r="B2" s="3" t="s">
        <v>32</v>
      </c>
      <c r="C2" s="11" t="s">
        <v>33</v>
      </c>
      <c r="D2" s="11" t="s">
        <v>34</v>
      </c>
    </row>
    <row r="3" spans="2:4" ht="9.75" customHeight="1" x14ac:dyDescent="0.3"/>
    <row r="4" spans="2:4" ht="30" customHeight="1" x14ac:dyDescent="0.3">
      <c r="B4" s="1" t="s">
        <v>17</v>
      </c>
      <c r="C4" s="1" t="s">
        <v>35</v>
      </c>
      <c r="D4" s="2" t="s">
        <v>36</v>
      </c>
    </row>
    <row r="5" spans="2:4" ht="19.5" customHeight="1" x14ac:dyDescent="0.3">
      <c r="B5" s="12">
        <v>5</v>
      </c>
      <c r="C5" s="13">
        <f>AVERAGEIFS('1. Datos_Crudos'!$J:$J,'1. Datos_Crudos'!$B:$B,"A1 - Factorial",'1. Datos_Crudos'!$C:$C,"Iterativo",'1. Datos_Crudos'!$D:$D,B5)</f>
        <v>1.8967999999999999E-2</v>
      </c>
      <c r="D5" s="14">
        <f>AVERAGEIFS('1. Datos_Crudos'!$J:$J,'1. Datos_Crudos'!$B:$B,"A1 - Factorial",'1. Datos_Crudos'!$C:$C,"Recursivo",'1. Datos_Crudos'!$D:$D,B5)</f>
        <v>2.2399999999999997E-4</v>
      </c>
    </row>
    <row r="6" spans="2:4" ht="19.5" customHeight="1" x14ac:dyDescent="0.3">
      <c r="B6" s="15">
        <v>10</v>
      </c>
      <c r="C6" s="16">
        <f>AVERAGEIFS('1. Datos_Crudos'!$J:$J,'1. Datos_Crudos'!$B:$B,"A1 - Factorial",'1. Datos_Crudos'!$C:$C,"Iterativo",'1. Datos_Crudos'!$D:$D,B6)</f>
        <v>9.6000000000000002E-5</v>
      </c>
      <c r="D6" s="17">
        <f>AVERAGEIFS('1. Datos_Crudos'!$J:$J,'1. Datos_Crudos'!$B:$B,"A1 - Factorial",'1. Datos_Crudos'!$C:$C,"Recursivo",'1. Datos_Crudos'!$D:$D,B6)</f>
        <v>1.2400000000000001E-4</v>
      </c>
    </row>
    <row r="7" spans="2:4" ht="19.5" customHeight="1" x14ac:dyDescent="0.3">
      <c r="B7" s="12">
        <v>15</v>
      </c>
      <c r="C7" s="13">
        <f>AVERAGEIFS('1. Datos_Crudos'!$J:$J,'1. Datos_Crudos'!$B:$B,"A1 - Factorial",'1. Datos_Crudos'!$C:$C,"Iterativo",'1. Datos_Crudos'!$D:$D,B7)</f>
        <v>1.44E-4</v>
      </c>
      <c r="D7" s="14">
        <f>AVERAGEIFS('1. Datos_Crudos'!$J:$J,'1. Datos_Crudos'!$B:$B,"A1 - Factorial",'1. Datos_Crudos'!$C:$C,"Recursivo",'1. Datos_Crudos'!$D:$D,B7)</f>
        <v>2.5600000000000004E-4</v>
      </c>
    </row>
    <row r="8" spans="2:4" ht="19.5" customHeight="1" x14ac:dyDescent="0.3">
      <c r="B8" s="15">
        <v>20</v>
      </c>
      <c r="C8" s="16">
        <f>AVERAGEIFS('1. Datos_Crudos'!$J:$J,'1. Datos_Crudos'!$B:$B,"A1 - Factorial",'1. Datos_Crudos'!$C:$C,"Iterativo",'1. Datos_Crudos'!$D:$D,B8)</f>
        <v>1.16E-4</v>
      </c>
      <c r="D8" s="17">
        <f>AVERAGEIFS('1. Datos_Crudos'!$J:$J,'1. Datos_Crudos'!$B:$B,"A1 - Factorial",'1. Datos_Crudos'!$C:$C,"Recursivo",'1. Datos_Crudos'!$D:$D,B8)</f>
        <v>2.32E-4</v>
      </c>
    </row>
    <row r="9" spans="2:4" ht="19.5" customHeight="1" x14ac:dyDescent="0.3">
      <c r="B9" s="12">
        <v>25</v>
      </c>
      <c r="C9" s="13">
        <f>AVERAGEIFS('1. Datos_Crudos'!$J:$J,'1. Datos_Crudos'!$B:$B,"A1 - Factorial",'1. Datos_Crudos'!$C:$C,"Iterativo",'1. Datos_Crudos'!$D:$D,B9)</f>
        <v>1.1199999999999998E-4</v>
      </c>
      <c r="D9" s="14">
        <f>AVERAGEIFS('1. Datos_Crudos'!$J:$J,'1. Datos_Crudos'!$B:$B,"A1 - Factorial",'1. Datos_Crudos'!$C:$C,"Recursivo",'1. Datos_Crudos'!$D:$D,B9)</f>
        <v>0</v>
      </c>
    </row>
    <row r="10" spans="2:4" ht="19.5" customHeight="1" x14ac:dyDescent="0.3">
      <c r="B10" s="15">
        <v>30</v>
      </c>
      <c r="C10" s="16">
        <f>AVERAGEIFS('1. Datos_Crudos'!$J:$J,'1. Datos_Crudos'!$B:$B,"A1 - Factorial",'1. Datos_Crudos'!$C:$C,"Iterativo",'1. Datos_Crudos'!$D:$D,B10)</f>
        <v>1.64E-4</v>
      </c>
      <c r="D10" s="17">
        <f>AVERAGEIFS('1. Datos_Crudos'!$J:$J,'1. Datos_Crudos'!$B:$B,"A1 - Factorial",'1. Datos_Crudos'!$C:$C,"Recursivo",'1. Datos_Crudos'!$D:$D,B10)</f>
        <v>0</v>
      </c>
    </row>
    <row r="12" spans="2:4" ht="39.75" customHeight="1" x14ac:dyDescent="0.3">
      <c r="B12" s="39" t="s">
        <v>37</v>
      </c>
      <c r="C12" s="39"/>
      <c r="D12" s="39"/>
    </row>
  </sheetData>
  <mergeCells count="2">
    <mergeCell ref="B1:D1"/>
    <mergeCell ref="B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2"/>
  <sheetViews>
    <sheetView showGridLines="0" zoomScaleNormal="100" workbookViewId="0"/>
  </sheetViews>
  <sheetFormatPr baseColWidth="10" defaultColWidth="8.6640625" defaultRowHeight="15" customHeight="1" x14ac:dyDescent="0.3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3">
      <c r="B1" s="37" t="s">
        <v>38</v>
      </c>
      <c r="C1" s="37"/>
      <c r="D1" s="37"/>
    </row>
    <row r="2" spans="2:4" ht="41.4" x14ac:dyDescent="0.3">
      <c r="B2" s="3" t="s">
        <v>32</v>
      </c>
      <c r="C2" s="11" t="s">
        <v>33</v>
      </c>
      <c r="D2" s="18" t="s">
        <v>39</v>
      </c>
    </row>
    <row r="3" spans="2:4" ht="9.75" customHeight="1" x14ac:dyDescent="0.3"/>
    <row r="4" spans="2:4" ht="30" customHeight="1" x14ac:dyDescent="0.3">
      <c r="B4" s="1" t="s">
        <v>17</v>
      </c>
      <c r="C4" s="1" t="s">
        <v>35</v>
      </c>
      <c r="D4" s="2" t="s">
        <v>40</v>
      </c>
    </row>
    <row r="5" spans="2:4" ht="19.5" customHeight="1" x14ac:dyDescent="0.3">
      <c r="B5" s="12">
        <v>5</v>
      </c>
      <c r="C5" s="13">
        <f>AVERAGEIFS('1. Datos_Crudos'!$J:$J,'1. Datos_Crudos'!$B:$B,"A2 - Fibonacci",'1. Datos_Crudos'!$C:$C,"Iterativo",'1. Datos_Crudos'!$D:$D,B5)</f>
        <v>2.3439999999999999E-2</v>
      </c>
      <c r="D5" s="19">
        <f>AVERAGEIFS('1. Datos_Crudos'!$J:$J,'1. Datos_Crudos'!$B:$B,"A2 - Fibonacci",'1. Datos_Crudos'!$C:$C,"Recursivo",'1. Datos_Crudos'!$D:$D,B5)</f>
        <v>3.3199999999999999E-4</v>
      </c>
    </row>
    <row r="6" spans="2:4" ht="19.5" customHeight="1" x14ac:dyDescent="0.3">
      <c r="B6" s="15">
        <v>10</v>
      </c>
      <c r="C6" s="16">
        <f>AVERAGEIFS('1. Datos_Crudos'!$J:$J,'1. Datos_Crudos'!$B:$B,"A2 - Fibonacci",'1. Datos_Crudos'!$C:$C,"Iterativo",'1. Datos_Crudos'!$D:$D,B6)</f>
        <v>8.7999999999999998E-5</v>
      </c>
      <c r="D6" s="20">
        <f>AVERAGEIFS('1. Datos_Crudos'!$J:$J,'1. Datos_Crudos'!$B:$B,"A2 - Fibonacci",'1. Datos_Crudos'!$C:$C,"Recursivo",'1. Datos_Crudos'!$D:$D,B6)</f>
        <v>5.012E-3</v>
      </c>
    </row>
    <row r="7" spans="2:4" ht="19.5" customHeight="1" x14ac:dyDescent="0.3">
      <c r="B7" s="12">
        <v>15</v>
      </c>
      <c r="C7" s="13">
        <f>AVERAGEIFS('1. Datos_Crudos'!$J:$J,'1. Datos_Crudos'!$B:$B,"A2 - Fibonacci",'1. Datos_Crudos'!$C:$C,"Iterativo",'1. Datos_Crudos'!$D:$D,B7)</f>
        <v>2.7599999999999999E-4</v>
      </c>
      <c r="D7" s="19">
        <f>AVERAGEIFS('1. Datos_Crudos'!$J:$J,'1. Datos_Crudos'!$B:$B,"A2 - Fibonacci",'1. Datos_Crudos'!$C:$C,"Recursivo",'1. Datos_Crudos'!$D:$D,B7)</f>
        <v>2.5200000000000001E-3</v>
      </c>
    </row>
    <row r="8" spans="2:4" ht="19.5" customHeight="1" x14ac:dyDescent="0.3">
      <c r="B8" s="15">
        <v>20</v>
      </c>
      <c r="C8" s="16">
        <f>AVERAGEIFS('1. Datos_Crudos'!$J:$J,'1. Datos_Crudos'!$B:$B,"A2 - Fibonacci",'1. Datos_Crudos'!$C:$C,"Iterativo",'1. Datos_Crudos'!$D:$D,B8)</f>
        <v>1.56E-4</v>
      </c>
      <c r="D8" s="20">
        <f>AVERAGEIFS('1. Datos_Crudos'!$J:$J,'1. Datos_Crudos'!$B:$B,"A2 - Fibonacci",'1. Datos_Crudos'!$C:$C,"Recursivo",'1. Datos_Crudos'!$D:$D,B8)</f>
        <v>9.6200000000000001E-3</v>
      </c>
    </row>
    <row r="9" spans="2:4" ht="19.5" customHeight="1" x14ac:dyDescent="0.3">
      <c r="B9" s="12">
        <v>25</v>
      </c>
      <c r="C9" s="13">
        <f>AVERAGEIFS('1. Datos_Crudos'!$J:$J,'1. Datos_Crudos'!$B:$B,"A2 - Fibonacci",'1. Datos_Crudos'!$C:$C,"Iterativo",'1. Datos_Crudos'!$D:$D,B9)</f>
        <v>1.84E-4</v>
      </c>
      <c r="D9" s="19">
        <f>AVERAGEIFS('1. Datos_Crudos'!$J:$J,'1. Datos_Crudos'!$B:$B,"A2 - Fibonacci",'1. Datos_Crudos'!$C:$C,"Recursivo",'1. Datos_Crudos'!$D:$D,B9)</f>
        <v>6.8700000000000011E-2</v>
      </c>
    </row>
    <row r="10" spans="2:4" ht="19.5" customHeight="1" x14ac:dyDescent="0.3">
      <c r="B10" s="15">
        <v>30</v>
      </c>
      <c r="C10" s="16">
        <f>AVERAGEIFS('1. Datos_Crudos'!$J:$J,'1. Datos_Crudos'!$B:$B,"A2 - Fibonacci",'1. Datos_Crudos'!$C:$C,"Iterativo",'1. Datos_Crudos'!$D:$D,B10)</f>
        <v>1.9599999999999999E-4</v>
      </c>
      <c r="D10" s="20">
        <f>AVERAGEIFS('1. Datos_Crudos'!$J:$J,'1. Datos_Crudos'!$B:$B,"A2 - Fibonacci",'1. Datos_Crudos'!$C:$C,"Recursivo",'1. Datos_Crudos'!$D:$D,B10)</f>
        <v>0.72949200000000003</v>
      </c>
    </row>
    <row r="12" spans="2:4" ht="39.75" customHeight="1" x14ac:dyDescent="0.3">
      <c r="B12" s="39" t="s">
        <v>41</v>
      </c>
      <c r="C12" s="39"/>
      <c r="D12" s="39"/>
    </row>
  </sheetData>
  <mergeCells count="2">
    <mergeCell ref="B1:D1"/>
    <mergeCell ref="B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11"/>
  <sheetViews>
    <sheetView showGridLines="0" zoomScaleNormal="100" workbookViewId="0">
      <selection activeCell="D18" sqref="D18"/>
    </sheetView>
  </sheetViews>
  <sheetFormatPr baseColWidth="10" defaultColWidth="8.6640625" defaultRowHeight="15" customHeight="1" x14ac:dyDescent="0.3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3">
      <c r="B1" s="37" t="s">
        <v>42</v>
      </c>
      <c r="C1" s="37"/>
      <c r="D1" s="37"/>
    </row>
    <row r="2" spans="2:4" ht="41.4" x14ac:dyDescent="0.3">
      <c r="B2" s="3" t="s">
        <v>32</v>
      </c>
      <c r="C2" s="11" t="s">
        <v>33</v>
      </c>
      <c r="D2" s="11" t="s">
        <v>34</v>
      </c>
    </row>
    <row r="3" spans="2:4" ht="9.75" customHeight="1" x14ac:dyDescent="0.3"/>
    <row r="4" spans="2:4" ht="30" customHeight="1" x14ac:dyDescent="0.3">
      <c r="B4" s="1" t="s">
        <v>17</v>
      </c>
      <c r="C4" s="1" t="s">
        <v>35</v>
      </c>
      <c r="D4" s="2" t="s">
        <v>36</v>
      </c>
    </row>
    <row r="5" spans="2:4" ht="19.5" customHeight="1" x14ac:dyDescent="0.3">
      <c r="B5" s="12">
        <v>100</v>
      </c>
      <c r="C5" s="13">
        <f>AVERAGEIFS('1. Datos_Crudos'!$J:$J,'1. Datos_Crudos'!$B:$B,"A3 - Busqueda Lineal",'1. Datos_Crudos'!$C:$C,"Iterativo",'1. Datos_Crudos'!$D:$D,B5)</f>
        <v>2.4240000000000001E-2</v>
      </c>
      <c r="D5" s="14">
        <f>AVERAGEIFS('1. Datos_Crudos'!$J:$J,'1. Datos_Crudos'!$B:$B,"A3 - Busqueda Lineal",'1. Datos_Crudos'!$C:$C,"Recursivo",'1. Datos_Crudos'!$D:$D,B5)</f>
        <v>1.4519999999999999E-3</v>
      </c>
    </row>
    <row r="6" spans="2:4" ht="19.5" customHeight="1" x14ac:dyDescent="0.3">
      <c r="B6" s="15">
        <v>500</v>
      </c>
      <c r="C6" s="16">
        <f>AVERAGEIFS('1. Datos_Crudos'!$J:$J,'1. Datos_Crudos'!$B:$B,"A3 - Busqueda Lineal",'1. Datos_Crudos'!$C:$C,"Iterativo",'1. Datos_Crudos'!$D:$D,B6)</f>
        <v>1.3240000000000001E-3</v>
      </c>
      <c r="D6" s="17">
        <f>AVERAGEIFS('1. Datos_Crudos'!$J:$J,'1. Datos_Crudos'!$B:$B,"A3 - Busqueda Lineal",'1. Datos_Crudos'!$C:$C,"Recursivo",'1. Datos_Crudos'!$D:$D,B6)</f>
        <v>1.6799999999999999E-3</v>
      </c>
    </row>
    <row r="7" spans="2:4" ht="19.5" customHeight="1" x14ac:dyDescent="0.3">
      <c r="B7" s="12">
        <v>1000</v>
      </c>
      <c r="C7" s="13">
        <f>AVERAGEIFS('1. Datos_Crudos'!$J:$J,'1. Datos_Crudos'!$B:$B,"A3 - Busqueda Lineal",'1. Datos_Crudos'!$C:$C,"Iterativo",'1. Datos_Crudos'!$D:$D,B7)</f>
        <v>2.5440000000000003E-3</v>
      </c>
      <c r="D7" s="14">
        <f>AVERAGEIFS('1. Datos_Crudos'!$J:$J,'1. Datos_Crudos'!$B:$B,"A3 - Busqueda Lineal",'1. Datos_Crudos'!$C:$C,"Recursivo",'1. Datos_Crudos'!$D:$D,B7)</f>
        <v>3.3519999999999999E-3</v>
      </c>
    </row>
    <row r="8" spans="2:4" ht="19.5" customHeight="1" x14ac:dyDescent="0.3">
      <c r="B8" s="15">
        <v>5000</v>
      </c>
      <c r="C8" s="16">
        <f>AVERAGEIFS('1. Datos_Crudos'!$J:$J,'1. Datos_Crudos'!$B:$B,"A3 - Busqueda Lineal",'1. Datos_Crudos'!$C:$C,"Iterativo",'1. Datos_Crudos'!$D:$D,B8)</f>
        <v>1.2328E-2</v>
      </c>
      <c r="D8" s="17">
        <f>AVERAGEIFS('1. Datos_Crudos'!$J:$J,'1. Datos_Crudos'!$B:$B,"A3 - Busqueda Lineal",'1. Datos_Crudos'!$C:$C,"Recursivo",'1. Datos_Crudos'!$D:$D,B8)</f>
        <v>1.3583999999999999E-2</v>
      </c>
    </row>
    <row r="9" spans="2:4" ht="19.5" customHeight="1" x14ac:dyDescent="0.3">
      <c r="B9" s="12">
        <v>10000</v>
      </c>
      <c r="C9" s="13">
        <f>AVERAGEIFS('1. Datos_Crudos'!$J:$J,'1. Datos_Crudos'!$B:$B,"A3 - Busqueda Lineal",'1. Datos_Crudos'!$C:$C,"Iterativo",'1. Datos_Crudos'!$D:$D,B9)</f>
        <v>2.8683999999999998E-2</v>
      </c>
      <c r="D9" s="14">
        <f>AVERAGEIFS('1. Datos_Crudos'!$J:$J,'1. Datos_Crudos'!$B:$B,"A3 - Busqueda Lineal",'1. Datos_Crudos'!$C:$C,"Recursivo",'1. Datos_Crudos'!$D:$D,B9)</f>
        <v>1.3100000000000001E-2</v>
      </c>
    </row>
    <row r="11" spans="2:4" ht="39.75" customHeight="1" x14ac:dyDescent="0.3">
      <c r="B11" s="39" t="s">
        <v>43</v>
      </c>
      <c r="C11" s="39"/>
      <c r="D11" s="39"/>
    </row>
  </sheetData>
  <mergeCells count="2">
    <mergeCell ref="B1:D1"/>
    <mergeCell ref="B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11"/>
  <sheetViews>
    <sheetView showGridLines="0" tabSelected="1" zoomScaleNormal="100" workbookViewId="0"/>
  </sheetViews>
  <sheetFormatPr baseColWidth="10" defaultColWidth="8.6640625" defaultRowHeight="15" customHeight="1" x14ac:dyDescent="0.3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3">
      <c r="B1" s="37" t="s">
        <v>44</v>
      </c>
      <c r="C1" s="37"/>
      <c r="D1" s="37"/>
    </row>
    <row r="2" spans="2:4" ht="21.75" customHeight="1" x14ac:dyDescent="0.3">
      <c r="B2" s="3" t="s">
        <v>32</v>
      </c>
      <c r="C2" s="11" t="s">
        <v>45</v>
      </c>
      <c r="D2" s="11" t="s">
        <v>46</v>
      </c>
    </row>
    <row r="3" spans="2:4" ht="9.75" customHeight="1" x14ac:dyDescent="0.3"/>
    <row r="4" spans="2:4" ht="30" customHeight="1" x14ac:dyDescent="0.3">
      <c r="B4" s="1" t="s">
        <v>17</v>
      </c>
      <c r="C4" s="1" t="s">
        <v>47</v>
      </c>
      <c r="D4" s="2" t="s">
        <v>48</v>
      </c>
    </row>
    <row r="5" spans="2:4" ht="19.5" customHeight="1" x14ac:dyDescent="0.3">
      <c r="B5" s="12">
        <v>100</v>
      </c>
      <c r="C5" s="13">
        <f>AVERAGEIFS('1. Datos_Crudos'!$J:$J,'1. Datos_Crudos'!$B:$B,"A4 - Burbuja",'1. Datos_Crudos'!$C:$C,"Iterativo",'1. Datos_Crudos'!$D:$D,B5)</f>
        <v>5.8008000000000004E-2</v>
      </c>
      <c r="D5" s="14">
        <f>AVERAGEIFS('1. Datos_Crudos'!$J:$J,'1. Datos_Crudos'!$B:$B,"A4 - Burbuja",'1. Datos_Crudos'!$C:$C,"Recursivo",'1. Datos_Crudos'!$D:$D,B5)</f>
        <v>1.7228E-2</v>
      </c>
    </row>
    <row r="6" spans="2:4" ht="19.5" customHeight="1" x14ac:dyDescent="0.3">
      <c r="B6" s="15">
        <v>500</v>
      </c>
      <c r="C6" s="16">
        <f>AVERAGEIFS('1. Datos_Crudos'!$J:$J,'1. Datos_Crudos'!$B:$B,"A4 - Burbuja",'1. Datos_Crudos'!$C:$C,"Iterativo",'1. Datos_Crudos'!$D:$D,B6)</f>
        <v>0.17358400000000002</v>
      </c>
      <c r="D6" s="17">
        <f>AVERAGEIFS('1. Datos_Crudos'!$J:$J,'1. Datos_Crudos'!$B:$B,"A4 - Burbuja",'1. Datos_Crudos'!$C:$C,"Recursivo",'1. Datos_Crudos'!$D:$D,B6)</f>
        <v>0.108532</v>
      </c>
    </row>
    <row r="7" spans="2:4" ht="19.5" customHeight="1" x14ac:dyDescent="0.3">
      <c r="B7" s="12">
        <v>1000</v>
      </c>
      <c r="C7" s="13">
        <f>AVERAGEIFS('1. Datos_Crudos'!$J:$J,'1. Datos_Crudos'!$B:$B,"A4 - Burbuja",'1. Datos_Crudos'!$C:$C,"Iterativo",'1. Datos_Crudos'!$D:$D,B7)</f>
        <v>0.29253999999999997</v>
      </c>
      <c r="D7" s="14">
        <f>AVERAGEIFS('1. Datos_Crudos'!$J:$J,'1. Datos_Crudos'!$B:$B,"A4 - Burbuja",'1. Datos_Crudos'!$C:$C,"Recursivo",'1. Datos_Crudos'!$D:$D,B7)</f>
        <v>0.36026400000000003</v>
      </c>
    </row>
    <row r="8" spans="2:4" ht="19.5" customHeight="1" x14ac:dyDescent="0.3">
      <c r="B8" s="15">
        <v>5000</v>
      </c>
      <c r="C8" s="16">
        <f>AVERAGEIFS('1. Datos_Crudos'!$J:$J,'1. Datos_Crudos'!$B:$B,"A4 - Burbuja",'1. Datos_Crudos'!$C:$C,"Iterativo",'1. Datos_Crudos'!$D:$D,B8)</f>
        <v>4.9575000000000005</v>
      </c>
      <c r="D8" s="17">
        <f>AVERAGEIFS('1. Datos_Crudos'!$J:$J,'1. Datos_Crudos'!$B:$B,"A4 - Burbuja",'1. Datos_Crudos'!$C:$C,"Recursivo",'1. Datos_Crudos'!$D:$D,B8)</f>
        <v>4.4658920000000002</v>
      </c>
    </row>
    <row r="9" spans="2:4" ht="19.5" customHeight="1" x14ac:dyDescent="0.3">
      <c r="B9" s="12">
        <v>10000</v>
      </c>
      <c r="C9" s="13">
        <f>AVERAGEIFS('1. Datos_Crudos'!$J:$J,'1. Datos_Crudos'!$B:$B,"A4 - Burbuja",'1. Datos_Crudos'!$C:$C,"Iterativo",'1. Datos_Crudos'!$D:$D,B9)</f>
        <v>24.249644</v>
      </c>
      <c r="D9" s="14">
        <f>AVERAGEIFS('1. Datos_Crudos'!$J:$J,'1. Datos_Crudos'!$B:$B,"A4 - Burbuja",'1. Datos_Crudos'!$C:$C,"Recursivo",'1. Datos_Crudos'!$D:$D,B9)</f>
        <v>21.367619999999999</v>
      </c>
    </row>
    <row r="11" spans="2:4" ht="39.75" customHeight="1" x14ac:dyDescent="0.3">
      <c r="B11" s="39" t="s">
        <v>49</v>
      </c>
      <c r="C11" s="39"/>
      <c r="D11" s="39"/>
    </row>
  </sheetData>
  <mergeCells count="2">
    <mergeCell ref="B1:D1"/>
    <mergeCell ref="B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19"/>
  <sheetViews>
    <sheetView showGridLines="0" zoomScaleNormal="100" workbookViewId="0">
      <selection activeCell="G4" sqref="G4:G5"/>
    </sheetView>
  </sheetViews>
  <sheetFormatPr baseColWidth="10" defaultColWidth="8.6640625" defaultRowHeight="15" customHeight="1" x14ac:dyDescent="0.3"/>
  <cols>
    <col min="1" max="1" width="3" customWidth="1"/>
    <col min="2" max="2" width="24" customWidth="1"/>
    <col min="3" max="3" width="16" customWidth="1"/>
    <col min="4" max="5" width="20" customWidth="1"/>
    <col min="6" max="6" width="16" customWidth="1"/>
    <col min="7" max="7" width="42" customWidth="1"/>
  </cols>
  <sheetData>
    <row r="1" spans="2:7" ht="33.75" customHeight="1" x14ac:dyDescent="0.3">
      <c r="B1" s="37" t="s">
        <v>50</v>
      </c>
      <c r="C1" s="37"/>
      <c r="D1" s="37"/>
      <c r="E1" s="37"/>
      <c r="F1" s="37"/>
      <c r="G1" s="37"/>
    </row>
    <row r="2" spans="2:7" ht="9.75" customHeight="1" x14ac:dyDescent="0.3"/>
    <row r="3" spans="2:7" ht="30" customHeight="1" x14ac:dyDescent="0.3">
      <c r="B3" s="21" t="s">
        <v>15</v>
      </c>
      <c r="C3" s="21" t="s">
        <v>16</v>
      </c>
      <c r="D3" s="22" t="s">
        <v>51</v>
      </c>
      <c r="E3" s="23" t="s">
        <v>52</v>
      </c>
      <c r="F3" s="23" t="s">
        <v>53</v>
      </c>
      <c r="G3" s="23" t="s">
        <v>54</v>
      </c>
    </row>
    <row r="4" spans="2:7" ht="18.600000000000001" customHeight="1" x14ac:dyDescent="0.3">
      <c r="B4" s="23" t="s">
        <v>24</v>
      </c>
      <c r="C4" s="24" t="s">
        <v>25</v>
      </c>
      <c r="D4" s="23" t="s">
        <v>33</v>
      </c>
      <c r="E4" s="23" t="s">
        <v>33</v>
      </c>
      <c r="F4" s="25" t="s">
        <v>66</v>
      </c>
      <c r="G4" s="48" t="s">
        <v>67</v>
      </c>
    </row>
    <row r="5" spans="2:7" ht="16.8" customHeight="1" x14ac:dyDescent="0.3">
      <c r="B5" s="27" t="s">
        <v>24</v>
      </c>
      <c r="C5" s="28" t="s">
        <v>26</v>
      </c>
      <c r="D5" s="23" t="s">
        <v>33</v>
      </c>
      <c r="E5" s="27" t="s">
        <v>33</v>
      </c>
      <c r="F5" s="25" t="s">
        <v>66</v>
      </c>
      <c r="G5" s="49"/>
    </row>
    <row r="6" spans="2:7" ht="22.8" x14ac:dyDescent="0.3">
      <c r="B6" s="23" t="s">
        <v>27</v>
      </c>
      <c r="C6" s="24" t="s">
        <v>25</v>
      </c>
      <c r="D6" s="23" t="s">
        <v>33</v>
      </c>
      <c r="E6" s="23" t="s">
        <v>33</v>
      </c>
      <c r="F6" s="25" t="s">
        <v>66</v>
      </c>
      <c r="G6" s="26" t="s">
        <v>68</v>
      </c>
    </row>
    <row r="7" spans="2:7" ht="34.200000000000003" x14ac:dyDescent="0.3">
      <c r="B7" s="27" t="s">
        <v>27</v>
      </c>
      <c r="C7" s="28" t="s">
        <v>26</v>
      </c>
      <c r="D7" s="27" t="s">
        <v>55</v>
      </c>
      <c r="E7" s="27" t="s">
        <v>55</v>
      </c>
      <c r="F7" s="25" t="s">
        <v>66</v>
      </c>
      <c r="G7" s="45" t="s">
        <v>69</v>
      </c>
    </row>
    <row r="8" spans="2:7" ht="21.75" customHeight="1" x14ac:dyDescent="0.3">
      <c r="B8" s="23" t="s">
        <v>28</v>
      </c>
      <c r="C8" s="24" t="s">
        <v>25</v>
      </c>
      <c r="D8" s="23" t="s">
        <v>33</v>
      </c>
      <c r="E8" s="23" t="s">
        <v>33</v>
      </c>
      <c r="F8" s="25" t="s">
        <v>66</v>
      </c>
      <c r="G8" s="46" t="s">
        <v>70</v>
      </c>
    </row>
    <row r="9" spans="2:7" ht="21.75" customHeight="1" x14ac:dyDescent="0.3">
      <c r="B9" s="27" t="s">
        <v>28</v>
      </c>
      <c r="C9" s="28" t="s">
        <v>26</v>
      </c>
      <c r="D9" s="23" t="s">
        <v>33</v>
      </c>
      <c r="E9" s="27" t="s">
        <v>33</v>
      </c>
      <c r="F9" s="25" t="s">
        <v>66</v>
      </c>
      <c r="G9" s="47"/>
    </row>
    <row r="10" spans="2:7" ht="21.75" customHeight="1" x14ac:dyDescent="0.3">
      <c r="B10" s="23" t="s">
        <v>29</v>
      </c>
      <c r="C10" s="24" t="s">
        <v>25</v>
      </c>
      <c r="D10" s="27" t="s">
        <v>55</v>
      </c>
      <c r="E10" s="23" t="s">
        <v>45</v>
      </c>
      <c r="F10" s="25" t="s">
        <v>66</v>
      </c>
      <c r="G10" s="46" t="s">
        <v>71</v>
      </c>
    </row>
    <row r="11" spans="2:7" ht="21.75" customHeight="1" x14ac:dyDescent="0.3">
      <c r="B11" s="27" t="s">
        <v>29</v>
      </c>
      <c r="C11" s="28" t="s">
        <v>26</v>
      </c>
      <c r="D11" s="27" t="s">
        <v>55</v>
      </c>
      <c r="E11" s="27" t="s">
        <v>45</v>
      </c>
      <c r="F11" s="25" t="s">
        <v>66</v>
      </c>
      <c r="G11" s="49"/>
    </row>
    <row r="14" spans="2:7" ht="7.5" customHeight="1" x14ac:dyDescent="0.3"/>
    <row r="15" spans="2:7" ht="15" customHeight="1" x14ac:dyDescent="0.3">
      <c r="B15" s="41" t="s">
        <v>56</v>
      </c>
      <c r="C15" s="41"/>
      <c r="D15" s="41"/>
      <c r="E15" s="41"/>
      <c r="F15" s="41"/>
      <c r="G15" s="41"/>
    </row>
    <row r="16" spans="2:7" ht="19.5" customHeight="1" x14ac:dyDescent="0.3">
      <c r="B16" s="3" t="s">
        <v>57</v>
      </c>
      <c r="C16" s="42" t="s">
        <v>58</v>
      </c>
      <c r="D16" s="42"/>
      <c r="E16" s="42"/>
      <c r="F16" s="42"/>
      <c r="G16" s="42"/>
    </row>
    <row r="17" spans="2:7" ht="19.5" customHeight="1" x14ac:dyDescent="0.3">
      <c r="B17" s="8" t="s">
        <v>59</v>
      </c>
      <c r="C17" s="43" t="s">
        <v>60</v>
      </c>
      <c r="D17" s="43"/>
      <c r="E17" s="43"/>
      <c r="F17" s="43"/>
      <c r="G17" s="43"/>
    </row>
    <row r="18" spans="2:7" ht="19.5" customHeight="1" x14ac:dyDescent="0.3">
      <c r="B18" s="3" t="s">
        <v>61</v>
      </c>
      <c r="C18" s="42" t="s">
        <v>62</v>
      </c>
      <c r="D18" s="42"/>
      <c r="E18" s="42"/>
      <c r="F18" s="42"/>
      <c r="G18" s="42"/>
    </row>
    <row r="19" spans="2:7" ht="19.5" customHeight="1" x14ac:dyDescent="0.3">
      <c r="B19" s="29" t="s">
        <v>63</v>
      </c>
      <c r="C19" s="40" t="s">
        <v>64</v>
      </c>
      <c r="D19" s="40"/>
      <c r="E19" s="40"/>
      <c r="F19" s="40"/>
      <c r="G19" s="40"/>
    </row>
  </sheetData>
  <mergeCells count="9">
    <mergeCell ref="C19:G19"/>
    <mergeCell ref="B1:G1"/>
    <mergeCell ref="B15:G15"/>
    <mergeCell ref="C16:G16"/>
    <mergeCell ref="C17:G17"/>
    <mergeCell ref="C18:G18"/>
    <mergeCell ref="G8:G9"/>
    <mergeCell ref="G4:G5"/>
    <mergeCell ref="G10:G11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9C2EEB-3CCD-40E0-B426-0B6D7ECD16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Guia de Uso</vt:lpstr>
      <vt:lpstr>tiempos1</vt:lpstr>
      <vt:lpstr>1. Datos_Crudos</vt:lpstr>
      <vt:lpstr>2. Factorial</vt:lpstr>
      <vt:lpstr>3. Fibonacci</vt:lpstr>
      <vt:lpstr>4. Busqueda Lineal</vt:lpstr>
      <vt:lpstr>5. Burbuja</vt:lpstr>
      <vt:lpstr>6. 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Garcia Valencia, Maria Elena</cp:lastModifiedBy>
  <cp:revision>1</cp:revision>
  <dcterms:created xsi:type="dcterms:W3CDTF">2026-02-20T06:55:59Z</dcterms:created>
  <dcterms:modified xsi:type="dcterms:W3CDTF">2026-03-03T06:58:01Z</dcterms:modified>
  <dc:language>en-US</dc:language>
</cp:coreProperties>
</file>